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hier de test" sheetId="2" state="visible" r:id="rId2"/>
  </sheets>
  <definedNames>
    <definedName name="_xlnm._FilterDatabase" localSheetId="1" hidden="1">'Cahier de test'!$A$1:$N$44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  <sz val="11"/>
    </font>
    <font>
      <name val="Arial"/>
      <i val="1"/>
      <sz val="11"/>
    </font>
    <font>
      <name val="Arial"/>
      <b val="1"/>
      <color rgb="00FFFFFF"/>
    </font>
    <font>
      <name val="Arial"/>
      <b val="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6" fillId="0" borderId="0" pivotButton="0" quotePrefix="0" xfId="0"/>
    <xf numFmtId="0" fontId="2" fillId="0" borderId="0" applyAlignment="1" pivotButton="0" quotePrefix="0" xfId="0">
      <alignment horizontal="left"/>
    </xf>
    <xf numFmtId="0" fontId="5" fillId="2" borderId="1" applyAlignment="1" pivotButton="0" quotePrefix="0" xfId="0">
      <alignment vertical="center" wrapText="1"/>
    </xf>
    <xf numFmtId="0" fontId="6" fillId="3" borderId="1" pivotButton="0" quotePrefix="0" xfId="0"/>
    <xf numFmtId="0" fontId="0" fillId="3" borderId="1" pivotButton="0" quotePrefix="0" xfId="0"/>
    <xf numFmtId="0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Cahier de test – US-030</t>
        </is>
      </c>
      <c r="B1" s="2" t="n"/>
    </row>
    <row r="2">
      <c r="A2" s="3" t="inlineStr">
        <is>
          <t>Questions socle obligatoires et visibilité conditionnelle par pilier</t>
        </is>
      </c>
      <c r="B2" s="2" t="n"/>
    </row>
    <row r="3">
      <c r="A3" s="4" t="n"/>
      <c r="B3" s="2" t="n"/>
    </row>
    <row r="4">
      <c r="A4" s="4" t="inlineStr">
        <is>
          <t>Objectif</t>
        </is>
      </c>
      <c r="B4" s="2" t="inlineStr">
        <is>
          <t>Vérifier que les questions sont obligatoires par défaut, que « Si applicable » est l'exception optionnelle, et que la visibilité suit la portée (Socle commun / Spécifique au pilier).</t>
        </is>
      </c>
    </row>
    <row r="5">
      <c r="A5" s="4" t="inlineStr">
        <is>
          <t>Environnement</t>
        </is>
      </c>
      <c r="B5" s="2" t="inlineStr">
        <is>
          <t>Sandbox uniquement (jamais la production).</t>
        </is>
      </c>
    </row>
    <row r="6">
      <c r="A6" s="4" t="inlineStr">
        <is>
          <t>Profils</t>
        </is>
      </c>
      <c r="B6" s="2" t="inlineStr">
        <is>
          <t>Responsable pilier : configure les questions. Candidat : remplit et soumet le formulaire. Système : comportement automatique.</t>
        </is>
      </c>
    </row>
    <row r="7">
      <c r="A7" s="4" t="inlineStr">
        <is>
          <t>Préconditions générales</t>
        </is>
      </c>
      <c r="B7" s="2" t="inlineStr">
        <is>
          <t>Programme (FundingOpportunity) au statut Brouillon, rattaché au pilier A ; formulaire (ApplicationForm) créé ; un second pilier B avec son propre programme.</t>
        </is>
      </c>
    </row>
    <row r="8">
      <c r="A8" s="4" t="inlineStr">
        <is>
          <t>Colonnes à remplir</t>
        </is>
      </c>
      <c r="B8" s="2" t="inlineStr">
        <is>
          <t>Testeur, Date, Résultat (liste : Non exécuté / OK / KO / Bloqué), Résultat obtenu, Commentaires. Les autres colonnes sont figées.</t>
        </is>
      </c>
    </row>
    <row r="9">
      <c r="A9" s="4" t="inlineStr">
        <is>
          <t>Exemple de saisie</t>
        </is>
      </c>
      <c r="B9" s="2" t="inlineStr">
        <is>
          <t>Testeur : Prénom Nom · Date : 30-09-2026 · Résultat : OK · Résultat obtenu : identique à l'attendu.</t>
        </is>
      </c>
    </row>
    <row r="10">
      <c r="A10" s="4" t="inlineStr">
        <is>
          <t>Hypothèses</t>
        </is>
      </c>
      <c r="B10" s="2" t="inlineStr">
        <is>
          <t>Les libellés d'interface (« Obligatoire », « Si applicable », « Socle commun », « Spécifique au pilier ») sont ceux de la user story : à adapter au libellé réel de l'org. TC-026 attend une décision métier sur les réponses existantes.</t>
        </is>
      </c>
    </row>
    <row r="11">
      <c r="A11" s="4" t="inlineStr">
        <is>
          <t>Synthèse</t>
        </is>
      </c>
      <c r="B11" s="2" t="inlineStr">
        <is>
          <t>Compteurs calculés depuis l'onglet Cahier de test.</t>
        </is>
      </c>
    </row>
    <row r="12"/>
    <row r="13">
      <c r="A13" s="5" t="inlineStr">
        <is>
          <t>Total de tests</t>
        </is>
      </c>
      <c r="B13" s="6">
        <f>COUNTIF('Cahier de test'!A2:A44,"TC-*")</f>
        <v/>
      </c>
    </row>
    <row r="14">
      <c r="A14" s="5" t="inlineStr">
        <is>
          <t>OK</t>
        </is>
      </c>
      <c r="B14" s="6">
        <f>COUNTIF('Cahier de test'!L2:L44,"OK")</f>
        <v/>
      </c>
    </row>
    <row r="15">
      <c r="A15" s="5" t="inlineStr">
        <is>
          <t>KO</t>
        </is>
      </c>
      <c r="B15" s="6">
        <f>COUNTIF('Cahier de test'!L2:L44,"KO")</f>
        <v/>
      </c>
    </row>
    <row r="16">
      <c r="A16" s="5" t="inlineStr">
        <is>
          <t>Bloqué</t>
        </is>
      </c>
      <c r="B16" s="6">
        <f>COUNTIF('Cahier de test'!L2:L44,"Bloqué")</f>
        <v/>
      </c>
    </row>
    <row r="17">
      <c r="A17" s="5" t="inlineStr">
        <is>
          <t>Non exécuté</t>
        </is>
      </c>
      <c r="B17" s="6">
        <f>COUNTIF('Cahier de test'!L2:L44,"Non exécuté")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38" customWidth="1" min="4" max="4"/>
    <col width="16" customWidth="1" min="5" max="5"/>
    <col width="36" customWidth="1" min="6" max="6"/>
    <col width="44" customWidth="1" min="7" max="7"/>
    <col width="44" customWidth="1" min="8" max="8"/>
    <col width="10" customWidth="1" min="9" max="9"/>
    <col width="14" customWidth="1" min="10" max="10"/>
    <col width="12" customWidth="1" min="11" max="11"/>
    <col width="13" customWidth="1" min="12" max="12"/>
    <col width="30" customWidth="1" min="13" max="13"/>
    <col width="30" customWidth="1" min="14" max="14"/>
  </cols>
  <sheetData>
    <row r="1">
      <c r="A1" s="7" t="inlineStr">
        <is>
          <t>ID</t>
        </is>
      </c>
      <c r="B1" s="7" t="inlineStr">
        <is>
          <t>Critère d'acceptation</t>
        </is>
      </c>
      <c r="C1" s="7" t="inlineStr">
        <is>
          <t>Type</t>
        </is>
      </c>
      <c r="D1" s="7" t="inlineStr">
        <is>
          <t>Titre du test</t>
        </is>
      </c>
      <c r="E1" s="7" t="inlineStr">
        <is>
          <t>Profil</t>
        </is>
      </c>
      <c r="F1" s="7" t="inlineStr">
        <is>
          <t>Préconditions</t>
        </is>
      </c>
      <c r="G1" s="7" t="inlineStr">
        <is>
          <t>Étapes</t>
        </is>
      </c>
      <c r="H1" s="7" t="inlineStr">
        <is>
          <t>Résultat attendu</t>
        </is>
      </c>
      <c r="I1" s="7" t="inlineStr">
        <is>
          <t>Priorité</t>
        </is>
      </c>
      <c r="J1" s="7" t="inlineStr">
        <is>
          <t>Testeur</t>
        </is>
      </c>
      <c r="K1" s="7" t="inlineStr">
        <is>
          <t>Date</t>
        </is>
      </c>
      <c r="L1" s="7" t="inlineStr">
        <is>
          <t>Résultat</t>
        </is>
      </c>
      <c r="M1" s="7" t="inlineStr">
        <is>
          <t>Résultat obtenu</t>
        </is>
      </c>
      <c r="N1" s="7" t="inlineStr">
        <is>
          <t>Commentaires</t>
        </is>
      </c>
    </row>
    <row r="2">
      <c r="A2" s="8" t="inlineStr">
        <is>
          <t>AC1 – Questions préconfigurées obligatoires par défaut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>
      <c r="A3" s="10" t="inlineStr">
        <is>
          <t>TC-001</t>
        </is>
      </c>
      <c r="B3" s="10" t="inlineStr">
        <is>
          <t>AC1</t>
        </is>
      </c>
      <c r="C3" s="10" t="inlineStr">
        <is>
          <t>Positif</t>
        </is>
      </c>
      <c r="D3" s="10" t="inlineStr">
        <is>
          <t>Question préconfigurée affichée comme obligatoire</t>
        </is>
      </c>
      <c r="E3" s="10" t="inlineStr">
        <is>
          <t>Candidat</t>
        </is>
      </c>
      <c r="F3" s="10" t="inlineStr">
        <is>
          <t>Formulaire contenant au moins une question préconfigurée (mappée sur un champ Salesforce, ex. Contact.Phone).</t>
        </is>
      </c>
      <c r="G3" s="10" t="inlineStr">
        <is>
          <t>1. Ouvrir le formulaire en tant que candidat.
2. Repérer la question préconfigurée.</t>
        </is>
      </c>
      <c r="H3" s="10" t="inlineStr">
        <is>
          <t>La question est signalée obligatoire (astérisque / mention « Obligatoire »).</t>
        </is>
      </c>
      <c r="I3" s="10" t="inlineStr">
        <is>
          <t>Haute</t>
        </is>
      </c>
      <c r="J3" s="10" t="n"/>
      <c r="K3" s="11" t="n"/>
      <c r="L3" s="10" t="inlineStr">
        <is>
          <t>Non exécuté</t>
        </is>
      </c>
      <c r="M3" s="10" t="n"/>
      <c r="N3" s="10" t="n"/>
    </row>
    <row r="4">
      <c r="A4" s="10" t="inlineStr">
        <is>
          <t>TC-002</t>
        </is>
      </c>
      <c r="B4" s="10" t="inlineStr">
        <is>
          <t>AC1</t>
        </is>
      </c>
      <c r="C4" s="10" t="inlineStr">
        <is>
          <t>Négatif</t>
        </is>
      </c>
      <c r="D4" s="10" t="inlineStr">
        <is>
          <t>Soumission bloquée si une question préconfigurée est vide</t>
        </is>
      </c>
      <c r="E4" s="10" t="inlineStr">
        <is>
          <t>Candidat</t>
        </is>
      </c>
      <c r="F4" s="10" t="inlineStr">
        <is>
          <t>Idem TC-001 ; toutes les autres questions remplies.</t>
        </is>
      </c>
      <c r="G4" s="10" t="inlineStr">
        <is>
          <t>1. Laisser la question préconfigurée vide.
2. Cliquer sur Soumettre.</t>
        </is>
      </c>
      <c r="H4" s="10" t="inlineStr">
        <is>
          <t>La soumission est refusée ; un message d'erreur est affiché sur la question concernée ; rien n'est enregistré comme soumis.</t>
        </is>
      </c>
      <c r="I4" s="10" t="inlineStr">
        <is>
          <t>Haute</t>
        </is>
      </c>
      <c r="J4" s="10" t="n"/>
      <c r="K4" s="11" t="n"/>
      <c r="L4" s="10" t="inlineStr">
        <is>
          <t>Non exécuté</t>
        </is>
      </c>
      <c r="M4" s="10" t="n"/>
      <c r="N4" s="10" t="n"/>
    </row>
    <row r="5">
      <c r="A5" s="10" t="inlineStr">
        <is>
          <t>TC-003</t>
        </is>
      </c>
      <c r="B5" s="10" t="inlineStr">
        <is>
          <t>AC1</t>
        </is>
      </c>
      <c r="C5" s="10" t="inlineStr">
        <is>
          <t>Positif</t>
        </is>
      </c>
      <c r="D5" s="10" t="inlineStr">
        <is>
          <t>Soumission réussie quand toutes les questions obligatoires sont remplies</t>
        </is>
      </c>
      <c r="E5" s="10" t="inlineStr">
        <is>
          <t>Candidat</t>
        </is>
      </c>
      <c r="F5" s="10" t="inlineStr">
        <is>
          <t>Formulaire avec questions préconfigurées et dynamiques, aucune « Si applicable ».</t>
        </is>
      </c>
      <c r="G5" s="10" t="inlineStr">
        <is>
          <t>1. Remplir toutes les questions.
2. Soumettre.</t>
        </is>
      </c>
      <c r="H5" s="10" t="inlineStr">
        <is>
          <t>La soumission aboutit sans erreur de validation.</t>
        </is>
      </c>
      <c r="I5" s="10" t="inlineStr">
        <is>
          <t>Haute</t>
        </is>
      </c>
      <c r="J5" s="10" t="n"/>
      <c r="K5" s="11" t="n"/>
      <c r="L5" s="10" t="inlineStr">
        <is>
          <t>Non exécuté</t>
        </is>
      </c>
      <c r="M5" s="10" t="n"/>
      <c r="N5" s="10" t="n"/>
    </row>
    <row r="6">
      <c r="A6" s="10" t="inlineStr">
        <is>
          <t>TC-004</t>
        </is>
      </c>
      <c r="B6" s="10" t="inlineStr">
        <is>
          <t>AC1</t>
        </is>
      </c>
      <c r="C6" s="10" t="inlineStr">
        <is>
          <t>Positif</t>
        </is>
      </c>
      <c r="D6" s="10" t="inlineStr">
        <is>
          <t>Nouvelle question dynamique obligatoire par défaut</t>
        </is>
      </c>
      <c r="E6" s="10" t="inlineStr">
        <is>
          <t>Responsable pilier</t>
        </is>
      </c>
      <c r="F6" s="10" t="inlineStr">
        <is>
          <t>Connecté en Responsable pilier ; programme au statut Brouillon.</t>
        </is>
      </c>
      <c r="G6" s="10" t="inlineStr">
        <is>
          <t>1. Créer une question dynamique (libellé + type Texte).
2. Ne pas modifier le statut obligatoire.
3. Enregistrer et consulter le détail de la question.</t>
        </is>
      </c>
      <c r="H6" s="10" t="inlineStr">
        <is>
          <t>Le statut est « Obligatoire » (IsMandatory__c = vrai) sans action de l'utilisateur.</t>
        </is>
      </c>
      <c r="I6" s="10" t="inlineStr">
        <is>
          <t>Haute</t>
        </is>
      </c>
      <c r="J6" s="10" t="n"/>
      <c r="K6" s="11" t="n"/>
      <c r="L6" s="10" t="inlineStr">
        <is>
          <t>Non exécuté</t>
        </is>
      </c>
      <c r="M6" s="10" t="n"/>
      <c r="N6" s="10" t="n"/>
    </row>
    <row r="7">
      <c r="A7" s="10" t="inlineStr">
        <is>
          <t>TC-005</t>
        </is>
      </c>
      <c r="B7" s="10" t="inlineStr">
        <is>
          <t>AC1</t>
        </is>
      </c>
      <c r="C7" s="10" t="inlineStr">
        <is>
          <t>Négatif</t>
        </is>
      </c>
      <c r="D7" s="10" t="inlineStr">
        <is>
          <t>Question dynamique obligatoire vide bloque la soumission</t>
        </is>
      </c>
      <c r="E7" s="10" t="inlineStr">
        <is>
          <t>Candidat</t>
        </is>
      </c>
      <c r="F7" s="10" t="inlineStr">
        <is>
          <t>Question dynamique créée avec le statut par défaut.</t>
        </is>
      </c>
      <c r="G7" s="10" t="inlineStr">
        <is>
          <t>1. Laisser la question vide.
2. Soumettre.</t>
        </is>
      </c>
      <c r="H7" s="10" t="inlineStr">
        <is>
          <t>Soumission refusée avec message d'erreur.</t>
        </is>
      </c>
      <c r="I7" s="10" t="inlineStr">
        <is>
          <t>Haute</t>
        </is>
      </c>
      <c r="J7" s="10" t="n"/>
      <c r="K7" s="11" t="n"/>
      <c r="L7" s="10" t="inlineStr">
        <is>
          <t>Non exécuté</t>
        </is>
      </c>
      <c r="M7" s="10" t="n"/>
      <c r="N7" s="10" t="n"/>
    </row>
    <row r="8">
      <c r="A8" s="10" t="inlineStr">
        <is>
          <t>TC-006</t>
        </is>
      </c>
      <c r="B8" s="10" t="inlineStr">
        <is>
          <t>AC1</t>
        </is>
      </c>
      <c r="C8" s="10" t="inlineStr">
        <is>
          <t>Limite</t>
        </is>
      </c>
      <c r="D8" s="10" t="inlineStr">
        <is>
          <t>Réponse composée uniquement d'espaces</t>
        </is>
      </c>
      <c r="E8" s="10" t="inlineStr">
        <is>
          <t>Candidat</t>
        </is>
      </c>
      <c r="F8" s="10" t="inlineStr">
        <is>
          <t>Question texte obligatoire.</t>
        </is>
      </c>
      <c r="G8" s="10" t="inlineStr">
        <is>
          <t>1. Saisir uniquement des espaces.
2. Soumettre.</t>
        </is>
      </c>
      <c r="H8" s="10" t="inlineStr">
        <is>
          <t>La réponse est considérée comme vide : soumission refusée.</t>
        </is>
      </c>
      <c r="I8" s="10" t="inlineStr">
        <is>
          <t>Moyenne</t>
        </is>
      </c>
      <c r="J8" s="10" t="n"/>
      <c r="K8" s="11" t="n"/>
      <c r="L8" s="10" t="inlineStr">
        <is>
          <t>Non exécuté</t>
        </is>
      </c>
      <c r="M8" s="10" t="n"/>
      <c r="N8" s="10" t="n"/>
    </row>
    <row r="9">
      <c r="A9" s="10" t="inlineStr">
        <is>
          <t>TC-007</t>
        </is>
      </c>
      <c r="B9" s="10" t="inlineStr">
        <is>
          <t>AC1</t>
        </is>
      </c>
      <c r="C9" s="10" t="inlineStr">
        <is>
          <t>Limite</t>
        </is>
      </c>
      <c r="D9" s="10" t="inlineStr">
        <is>
          <t>Chaque type de question respecte l'obligation (Texte, Liste de choix, Date, Nombre entier)</t>
        </is>
      </c>
      <c r="E9" s="10" t="inlineStr">
        <is>
          <t>Candidat</t>
        </is>
      </c>
      <c r="F9" s="10" t="inlineStr">
        <is>
          <t>Une question obligatoire de chaque type.</t>
        </is>
      </c>
      <c r="G9" s="10" t="inlineStr">
        <is>
          <t>1. Laisser chaque question vide.
2. Soumettre.</t>
        </is>
      </c>
      <c r="H9" s="10" t="inlineStr">
        <is>
          <t>Chaque type déclenche l'erreur d'obligation ; aucun type n'est contourné.</t>
        </is>
      </c>
      <c r="I9" s="10" t="inlineStr">
        <is>
          <t>Moyenne</t>
        </is>
      </c>
      <c r="J9" s="10" t="n"/>
      <c r="K9" s="11" t="n"/>
      <c r="L9" s="10" t="inlineStr">
        <is>
          <t>Non exécuté</t>
        </is>
      </c>
      <c r="M9" s="10" t="n"/>
      <c r="N9" s="10" t="n"/>
    </row>
    <row r="10">
      <c r="A10" s="8" t="inlineStr">
        <is>
          <t>AC2 – Questions « Si applicable » optionnelles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A11" s="10" t="inlineStr">
        <is>
          <t>TC-008</t>
        </is>
      </c>
      <c r="B11" s="10" t="inlineStr">
        <is>
          <t>AC2</t>
        </is>
      </c>
      <c r="C11" s="10" t="inlineStr">
        <is>
          <t>Positif</t>
        </is>
      </c>
      <c r="D11" s="10" t="inlineStr">
        <is>
          <t>Marquer une question « Si applicable »</t>
        </is>
      </c>
      <c r="E11" s="10" t="inlineStr">
        <is>
          <t>Responsable pilier</t>
        </is>
      </c>
      <c r="F11" s="10" t="inlineStr">
        <is>
          <t>Question dynamique existante, programme au statut Brouillon.</t>
        </is>
      </c>
      <c r="G11" s="10" t="inlineStr">
        <is>
          <t>1. Ouvrir la question.
2. Choisir « Si applicable (optionnel) ».
3. Enregistrer.</t>
        </is>
      </c>
      <c r="H11" s="10" t="inlineStr">
        <is>
          <t>Le statut est enregistré (IsMandatory__c = faux) et visible au rechargement.</t>
        </is>
      </c>
      <c r="I11" s="10" t="inlineStr">
        <is>
          <t>Haute</t>
        </is>
      </c>
      <c r="J11" s="10" t="n"/>
      <c r="K11" s="11" t="n"/>
      <c r="L11" s="10" t="inlineStr">
        <is>
          <t>Non exécuté</t>
        </is>
      </c>
      <c r="M11" s="10" t="n"/>
      <c r="N11" s="10" t="n"/>
    </row>
    <row r="12">
      <c r="A12" s="10" t="inlineStr">
        <is>
          <t>TC-009</t>
        </is>
      </c>
      <c r="B12" s="10" t="inlineStr">
        <is>
          <t>AC2</t>
        </is>
      </c>
      <c r="C12" s="10" t="inlineStr">
        <is>
          <t>Positif</t>
        </is>
      </c>
      <c r="D12" s="10" t="inlineStr">
        <is>
          <t>Question « Si applicable » laissée vide</t>
        </is>
      </c>
      <c r="E12" s="10" t="inlineStr">
        <is>
          <t>Candidat</t>
        </is>
      </c>
      <c r="F12" s="10" t="inlineStr">
        <is>
          <t>Question marquée « Si applicable » ; les autres questions sont remplies.</t>
        </is>
      </c>
      <c r="G12" s="10" t="inlineStr">
        <is>
          <t>1. Laisser la question vide.
2. Soumettre.</t>
        </is>
      </c>
      <c r="H12" s="10" t="inlineStr">
        <is>
          <t>Aucune erreur de validation ; la soumission aboutit.</t>
        </is>
      </c>
      <c r="I12" s="10" t="inlineStr">
        <is>
          <t>Haute</t>
        </is>
      </c>
      <c r="J12" s="10" t="n"/>
      <c r="K12" s="11" t="n"/>
      <c r="L12" s="10" t="inlineStr">
        <is>
          <t>Non exécuté</t>
        </is>
      </c>
      <c r="M12" s="10" t="n"/>
      <c r="N12" s="10" t="n"/>
    </row>
    <row r="13">
      <c r="A13" s="10" t="inlineStr">
        <is>
          <t>TC-010</t>
        </is>
      </c>
      <c r="B13" s="10" t="inlineStr">
        <is>
          <t>AC2</t>
        </is>
      </c>
      <c r="C13" s="10" t="inlineStr">
        <is>
          <t>Positif</t>
        </is>
      </c>
      <c r="D13" s="10" t="inlineStr">
        <is>
          <t>Question « Si applicable » renseignée</t>
        </is>
      </c>
      <c r="E13" s="10" t="inlineStr">
        <is>
          <t>Candidat</t>
        </is>
      </c>
      <c r="F13" s="10" t="inlineStr">
        <is>
          <t>Idem TC-008.</t>
        </is>
      </c>
      <c r="G13" s="10" t="inlineStr">
        <is>
          <t>1. Saisir une valeur.
2. Soumettre.
3. Rouvrir la candidature.</t>
        </is>
      </c>
      <c r="H13" s="10" t="inlineStr">
        <is>
          <t>La valeur est enregistrée et réaffichée.</t>
        </is>
      </c>
      <c r="I13" s="10" t="inlineStr">
        <is>
          <t>Moyenne</t>
        </is>
      </c>
      <c r="J13" s="10" t="n"/>
      <c r="K13" s="11" t="n"/>
      <c r="L13" s="10" t="inlineStr">
        <is>
          <t>Non exécuté</t>
        </is>
      </c>
      <c r="M13" s="10" t="n"/>
      <c r="N13" s="10" t="n"/>
    </row>
    <row r="14">
      <c r="A14" s="10" t="inlineStr">
        <is>
          <t>TC-011</t>
        </is>
      </c>
      <c r="B14" s="10" t="inlineStr">
        <is>
          <t>AC2</t>
        </is>
      </c>
      <c r="C14" s="10" t="inlineStr">
        <is>
          <t>Positif</t>
        </is>
      </c>
      <c r="D14" s="10" t="inlineStr">
        <is>
          <t>Repasser de « Si applicable » à « Obligatoire »</t>
        </is>
      </c>
      <c r="E14" s="10" t="inlineStr">
        <is>
          <t>Responsable pilier</t>
        </is>
      </c>
      <c r="F14" s="10" t="inlineStr">
        <is>
          <t>Question marquée « Si applicable ».</t>
        </is>
      </c>
      <c r="G14" s="10" t="inlineStr">
        <is>
          <t>1. Choisir « Obligatoire ».
2. Enregistrer.
3. Se connecter en candidat et soumettre en laissant la question vide.</t>
        </is>
      </c>
      <c r="H14" s="10" t="inlineStr">
        <is>
          <t>La question redevient obligatoire ; soumission refusée si vide.</t>
        </is>
      </c>
      <c r="I14" s="10" t="inlineStr">
        <is>
          <t>Moyenne</t>
        </is>
      </c>
      <c r="J14" s="10" t="n"/>
      <c r="K14" s="11" t="n"/>
      <c r="L14" s="10" t="inlineStr">
        <is>
          <t>Non exécuté</t>
        </is>
      </c>
      <c r="M14" s="10" t="n"/>
      <c r="N14" s="10" t="n"/>
    </row>
    <row r="15">
      <c r="A15" s="10" t="inlineStr">
        <is>
          <t>TC-012</t>
        </is>
      </c>
      <c r="B15" s="10" t="inlineStr">
        <is>
          <t>AC2</t>
        </is>
      </c>
      <c r="C15" s="10" t="inlineStr">
        <is>
          <t>Positif</t>
        </is>
      </c>
      <c r="D15" s="10" t="inlineStr">
        <is>
          <t>Indication visuelle distincte pour « Si applicable »</t>
        </is>
      </c>
      <c r="E15" s="10" t="inlineStr">
        <is>
          <t>Candidat</t>
        </is>
      </c>
      <c r="F15" s="10" t="inlineStr">
        <is>
          <t>Un formulaire avec une question obligatoire et une question « Si applicable ».</t>
        </is>
      </c>
      <c r="G15" s="10" t="inlineStr">
        <is>
          <t>1. Ouvrir le formulaire.
2. Comparer l'affichage des deux questions.</t>
        </is>
      </c>
      <c r="H15" s="10" t="inlineStr">
        <is>
          <t>La question « Si applicable » ne porte pas l'indicateur d'obligation ; les deux se distinguent clairement.</t>
        </is>
      </c>
      <c r="I15" s="10" t="inlineStr">
        <is>
          <t>Basse</t>
        </is>
      </c>
      <c r="J15" s="10" t="n"/>
      <c r="K15" s="11" t="n"/>
      <c r="L15" s="10" t="inlineStr">
        <is>
          <t>Non exécuté</t>
        </is>
      </c>
      <c r="M15" s="10" t="n"/>
      <c r="N15" s="10" t="n"/>
    </row>
    <row r="16">
      <c r="A16" s="10" t="inlineStr">
        <is>
          <t>TC-013</t>
        </is>
      </c>
      <c r="B16" s="10" t="inlineStr">
        <is>
          <t>AC2</t>
        </is>
      </c>
      <c r="C16" s="10" t="inlineStr">
        <is>
          <t>Négatif</t>
        </is>
      </c>
      <c r="D16" s="10" t="inlineStr">
        <is>
          <t>Modification du statut refusée si le programme n'est plus en Brouillon</t>
        </is>
      </c>
      <c r="E16" s="10" t="inlineStr">
        <is>
          <t>Responsable pilier</t>
        </is>
      </c>
      <c r="F16" s="10" t="inlineStr">
        <is>
          <t>Programme au statut non Brouillon (ex. Publié).</t>
        </is>
      </c>
      <c r="G16" s="10" t="inlineStr">
        <is>
          <t>1. Tenter de passer une question en « Si applicable ».</t>
        </is>
      </c>
      <c r="H16" s="10" t="inlineStr">
        <is>
          <t>L'action est refusée avec un message d'erreur ; le statut reste inchangé.</t>
        </is>
      </c>
      <c r="I16" s="10" t="inlineStr">
        <is>
          <t>Moyenne</t>
        </is>
      </c>
      <c r="J16" s="10" t="n"/>
      <c r="K16" s="11" t="n"/>
      <c r="L16" s="10" t="inlineStr">
        <is>
          <t>Non exécuté</t>
        </is>
      </c>
      <c r="M16" s="10" t="n"/>
      <c r="N16" s="10" t="n"/>
    </row>
    <row r="17">
      <c r="A17" s="8" t="inlineStr">
        <is>
          <t>AC3 – Socle commun : visible pour tous les piliers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A18" s="10" t="inlineStr">
        <is>
          <t>TC-014</t>
        </is>
      </c>
      <c r="B18" s="10" t="inlineStr">
        <is>
          <t>AC3</t>
        </is>
      </c>
      <c r="C18" s="10" t="inlineStr">
        <is>
          <t>Positif</t>
        </is>
      </c>
      <c r="D18" s="10" t="inlineStr">
        <is>
          <t>Création d'une question Socle commun</t>
        </is>
      </c>
      <c r="E18" s="10" t="inlineStr">
        <is>
          <t>Responsable pilier</t>
        </is>
      </c>
      <c r="F18" s="10" t="inlineStr">
        <is>
          <t>Connecté en Responsable pilier A.</t>
        </is>
      </c>
      <c r="G18" s="10" t="inlineStr">
        <is>
          <t>1. Créer une question.
2. Portée de visibilité : « Socle commun ».
3. Enregistrer.</t>
        </is>
      </c>
      <c r="H18" s="10" t="inlineStr">
        <is>
          <t>La question est enregistrée avec la portée Socle commun.</t>
        </is>
      </c>
      <c r="I18" s="10" t="inlineStr">
        <is>
          <t>Haute</t>
        </is>
      </c>
      <c r="J18" s="10" t="n"/>
      <c r="K18" s="11" t="n"/>
      <c r="L18" s="10" t="inlineStr">
        <is>
          <t>Non exécuté</t>
        </is>
      </c>
      <c r="M18" s="10" t="n"/>
      <c r="N18" s="10" t="n"/>
    </row>
    <row r="19">
      <c r="A19" s="10" t="inlineStr">
        <is>
          <t>TC-015</t>
        </is>
      </c>
      <c r="B19" s="10" t="inlineStr">
        <is>
          <t>AC3</t>
        </is>
      </c>
      <c r="C19" s="10" t="inlineStr">
        <is>
          <t>Positif</t>
        </is>
      </c>
      <c r="D19" s="10" t="inlineStr">
        <is>
          <t>Question Socle commun visible pour le pilier A</t>
        </is>
      </c>
      <c r="E19" s="10" t="inlineStr">
        <is>
          <t>Candidat</t>
        </is>
      </c>
      <c r="F19" s="10" t="inlineStr">
        <is>
          <t>Question Socle commun existante ; candidat rattaché au pilier A.</t>
        </is>
      </c>
      <c r="G19" s="10" t="inlineStr">
        <is>
          <t>1. Ouvrir le formulaire.</t>
        </is>
      </c>
      <c r="H19" s="10" t="inlineStr">
        <is>
          <t>La question est affichée.</t>
        </is>
      </c>
      <c r="I19" s="10" t="inlineStr">
        <is>
          <t>Haute</t>
        </is>
      </c>
      <c r="J19" s="10" t="n"/>
      <c r="K19" s="11" t="n"/>
      <c r="L19" s="10" t="inlineStr">
        <is>
          <t>Non exécuté</t>
        </is>
      </c>
      <c r="M19" s="10" t="n"/>
      <c r="N19" s="10" t="n"/>
    </row>
    <row r="20">
      <c r="A20" s="10" t="inlineStr">
        <is>
          <t>TC-016</t>
        </is>
      </c>
      <c r="B20" s="10" t="inlineStr">
        <is>
          <t>AC3</t>
        </is>
      </c>
      <c r="C20" s="10" t="inlineStr">
        <is>
          <t>Positif</t>
        </is>
      </c>
      <c r="D20" s="10" t="inlineStr">
        <is>
          <t>Question Socle commun visible pour le pilier B</t>
        </is>
      </c>
      <c r="E20" s="10" t="inlineStr">
        <is>
          <t>Candidat</t>
        </is>
      </c>
      <c r="F20" s="10" t="inlineStr">
        <is>
          <t>Idem ; candidat rattaché au pilier B.</t>
        </is>
      </c>
      <c r="G20" s="10" t="inlineStr">
        <is>
          <t>1. Ouvrir le formulaire.</t>
        </is>
      </c>
      <c r="H20" s="10" t="inlineStr">
        <is>
          <t>La question est affichée, identique à celle du pilier A.</t>
        </is>
      </c>
      <c r="I20" s="10" t="inlineStr">
        <is>
          <t>Haute</t>
        </is>
      </c>
      <c r="J20" s="10" t="n"/>
      <c r="K20" s="11" t="n"/>
      <c r="L20" s="10" t="inlineStr">
        <is>
          <t>Non exécuté</t>
        </is>
      </c>
      <c r="M20" s="10" t="n"/>
      <c r="N20" s="10" t="n"/>
    </row>
    <row r="21">
      <c r="A21" s="10" t="inlineStr">
        <is>
          <t>TC-017</t>
        </is>
      </c>
      <c r="B21" s="10" t="inlineStr">
        <is>
          <t>AC3</t>
        </is>
      </c>
      <c r="C21" s="10" t="inlineStr">
        <is>
          <t>Limite</t>
        </is>
      </c>
      <c r="D21" s="10" t="inlineStr">
        <is>
          <t>Question Socle commun visible pour un pilier créé après elle</t>
        </is>
      </c>
      <c r="E21" s="10" t="inlineStr">
        <is>
          <t>Système</t>
        </is>
      </c>
      <c r="F21" s="10" t="inlineStr">
        <is>
          <t>Question Socle commun existante ; création d'un nouveau pilier C avec un programme et un formulaire.</t>
        </is>
      </c>
      <c r="G21" s="10" t="inlineStr">
        <is>
          <t>1. Ouvrir le formulaire du pilier C.</t>
        </is>
      </c>
      <c r="H21" s="10" t="inlineStr">
        <is>
          <t>La question Socle commun apparaît sans configuration supplémentaire.</t>
        </is>
      </c>
      <c r="I21" s="10" t="inlineStr">
        <is>
          <t>Moyenne</t>
        </is>
      </c>
      <c r="J21" s="10" t="n"/>
      <c r="K21" s="11" t="n"/>
      <c r="L21" s="10" t="inlineStr">
        <is>
          <t>Non exécuté</t>
        </is>
      </c>
      <c r="M21" s="10" t="n"/>
      <c r="N21" s="10" t="n"/>
    </row>
    <row r="22">
      <c r="A22" s="8" t="inlineStr">
        <is>
          <t>AC4 – Spécifique à un pilier : visible uniquement pour le pilier assigné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A23" s="10" t="inlineStr">
        <is>
          <t>TC-018</t>
        </is>
      </c>
      <c r="B23" s="10" t="inlineStr">
        <is>
          <t>AC4</t>
        </is>
      </c>
      <c r="C23" s="10" t="inlineStr">
        <is>
          <t>Positif</t>
        </is>
      </c>
      <c r="D23" s="10" t="inlineStr">
        <is>
          <t>Création d'une question spécifique à un pilier</t>
        </is>
      </c>
      <c r="E23" s="10" t="inlineStr">
        <is>
          <t>Responsable pilier</t>
        </is>
      </c>
      <c r="F23" s="10" t="inlineStr">
        <is>
          <t>Connecté en Responsable pilier A.</t>
        </is>
      </c>
      <c r="G23" s="10" t="inlineStr">
        <is>
          <t>1. Créer une question.
2. Portée : « Spécifique au pilier » ; sélectionner le pilier A.
3. Enregistrer.</t>
        </is>
      </c>
      <c r="H23" s="10" t="inlineStr">
        <is>
          <t>La question est enregistrée avec la portée « Spécifique » et le pilier A.</t>
        </is>
      </c>
      <c r="I23" s="10" t="inlineStr">
        <is>
          <t>Haute</t>
        </is>
      </c>
      <c r="J23" s="10" t="n"/>
      <c r="K23" s="11" t="n"/>
      <c r="L23" s="10" t="inlineStr">
        <is>
          <t>Non exécuté</t>
        </is>
      </c>
      <c r="M23" s="10" t="n"/>
      <c r="N23" s="10" t="n"/>
    </row>
    <row r="24">
      <c r="A24" s="10" t="inlineStr">
        <is>
          <t>TC-019</t>
        </is>
      </c>
      <c r="B24" s="10" t="inlineStr">
        <is>
          <t>AC4</t>
        </is>
      </c>
      <c r="C24" s="10" t="inlineStr">
        <is>
          <t>Positif</t>
        </is>
      </c>
      <c r="D24" s="10" t="inlineStr">
        <is>
          <t>Question spécifique visible pour le pilier assigné</t>
        </is>
      </c>
      <c r="E24" s="10" t="inlineStr">
        <is>
          <t>Candidat</t>
        </is>
      </c>
      <c r="F24" s="10" t="inlineStr">
        <is>
          <t>Question spécifique au pilier A ; candidat du pilier A.</t>
        </is>
      </c>
      <c r="G24" s="10" t="inlineStr">
        <is>
          <t>1. Ouvrir le formulaire.</t>
        </is>
      </c>
      <c r="H24" s="10" t="inlineStr">
        <is>
          <t>La question est affichée.</t>
        </is>
      </c>
      <c r="I24" s="10" t="inlineStr">
        <is>
          <t>Haute</t>
        </is>
      </c>
      <c r="J24" s="10" t="n"/>
      <c r="K24" s="11" t="n"/>
      <c r="L24" s="10" t="inlineStr">
        <is>
          <t>Non exécuté</t>
        </is>
      </c>
      <c r="M24" s="10" t="n"/>
      <c r="N24" s="10" t="n"/>
    </row>
    <row r="25">
      <c r="A25" s="10" t="inlineStr">
        <is>
          <t>TC-020</t>
        </is>
      </c>
      <c r="B25" s="10" t="inlineStr">
        <is>
          <t>AC4</t>
        </is>
      </c>
      <c r="C25" s="10" t="inlineStr">
        <is>
          <t>Négatif</t>
        </is>
      </c>
      <c r="D25" s="10" t="inlineStr">
        <is>
          <t>Question spécifique masquée pour un autre pilier</t>
        </is>
      </c>
      <c r="E25" s="10" t="inlineStr">
        <is>
          <t>Candidat</t>
        </is>
      </c>
      <c r="F25" s="10" t="inlineStr">
        <is>
          <t>Question spécifique au pilier A ; candidat du pilier B.</t>
        </is>
      </c>
      <c r="G25" s="10" t="inlineStr">
        <is>
          <t>1. Ouvrir le formulaire.</t>
        </is>
      </c>
      <c r="H25" s="10" t="inlineStr">
        <is>
          <t>La question n'est pas affichée.</t>
        </is>
      </c>
      <c r="I25" s="10" t="inlineStr">
        <is>
          <t>Haute</t>
        </is>
      </c>
      <c r="J25" s="10" t="n"/>
      <c r="K25" s="11" t="n"/>
      <c r="L25" s="10" t="inlineStr">
        <is>
          <t>Non exécuté</t>
        </is>
      </c>
      <c r="M25" s="10" t="n"/>
      <c r="N25" s="10" t="n"/>
    </row>
    <row r="26">
      <c r="A26" s="10" t="inlineStr">
        <is>
          <t>TC-021</t>
        </is>
      </c>
      <c r="B26" s="10" t="inlineStr">
        <is>
          <t>AC4</t>
        </is>
      </c>
      <c r="C26" s="10" t="inlineStr">
        <is>
          <t>Négatif</t>
        </is>
      </c>
      <c r="D26" s="10" t="inlineStr">
        <is>
          <t>Données de la question spécifique non exposées à l'autre pilier</t>
        </is>
      </c>
      <c r="E26" s="10" t="inlineStr">
        <is>
          <t>Candidat</t>
        </is>
      </c>
      <c r="F26" s="10" t="inlineStr">
        <is>
          <t>Idem TC-020.</t>
        </is>
      </c>
      <c r="G26" s="10" t="inlineStr">
        <is>
          <t>1. Ouvrir le formulaire du pilier B.
2. Inspecter la page / les données retournées par le composant.</t>
        </is>
      </c>
      <c r="H26" s="10" t="inlineStr">
        <is>
          <t>Ni le libellé ni la valeur de la question du pilier A n'apparaissent dans le formulaire du pilier B.</t>
        </is>
      </c>
      <c r="I26" s="10" t="inlineStr">
        <is>
          <t>Moyenne</t>
        </is>
      </c>
      <c r="J26" s="10" t="n"/>
      <c r="K26" s="11" t="n"/>
      <c r="L26" s="10" t="inlineStr">
        <is>
          <t>Non exécuté</t>
        </is>
      </c>
      <c r="M26" s="10" t="n"/>
      <c r="N26" s="10" t="n"/>
    </row>
    <row r="27">
      <c r="A27" s="10" t="inlineStr">
        <is>
          <t>TC-022</t>
        </is>
      </c>
      <c r="B27" s="10" t="inlineStr">
        <is>
          <t>AC4</t>
        </is>
      </c>
      <c r="C27" s="10" t="inlineStr">
        <is>
          <t>Négatif</t>
        </is>
      </c>
      <c r="D27" s="10" t="inlineStr">
        <is>
          <t>Portée spécifique sans pilier sélectionné</t>
        </is>
      </c>
      <c r="E27" s="10" t="inlineStr">
        <is>
          <t>Responsable pilier</t>
        </is>
      </c>
      <c r="F27" s="10" t="inlineStr">
        <is>
          <t>Création de question en cours.</t>
        </is>
      </c>
      <c r="G27" s="10" t="inlineStr">
        <is>
          <t>1. Choisir « Spécifique au pilier » sans sélectionner de pilier.
2. Enregistrer.</t>
        </is>
      </c>
      <c r="H27" s="10" t="inlineStr">
        <is>
          <t>Enregistrement refusé avec message d'erreur de validation.</t>
        </is>
      </c>
      <c r="I27" s="10" t="inlineStr">
        <is>
          <t>Moyenne</t>
        </is>
      </c>
      <c r="J27" s="10" t="n"/>
      <c r="K27" s="11" t="n"/>
      <c r="L27" s="10" t="inlineStr">
        <is>
          <t>Non exécuté</t>
        </is>
      </c>
      <c r="M27" s="10" t="n"/>
      <c r="N27" s="10" t="n"/>
    </row>
    <row r="28">
      <c r="A28" s="10" t="inlineStr">
        <is>
          <t>TC-023</t>
        </is>
      </c>
      <c r="B28" s="10" t="inlineStr">
        <is>
          <t>AC4</t>
        </is>
      </c>
      <c r="C28" s="10" t="inlineStr">
        <is>
          <t>Limite</t>
        </is>
      </c>
      <c r="D28" s="10" t="inlineStr">
        <is>
          <t>Question spécifique obligatoire masquée ne bloque pas l'autre pilier</t>
        </is>
      </c>
      <c r="E28" s="10" t="inlineStr">
        <is>
          <t>Candidat</t>
        </is>
      </c>
      <c r="F28" s="10" t="inlineStr">
        <is>
          <t>Question spécifique au pilier A, obligatoire ; candidat du pilier B remplissant toutes ses questions visibles.</t>
        </is>
      </c>
      <c r="G28" s="10" t="inlineStr">
        <is>
          <t>1. Soumettre le formulaire du pilier B.</t>
        </is>
      </c>
      <c r="H28" s="10" t="inlineStr">
        <is>
          <t>La soumission aboutit : une question masquée n'est jamais exigée.</t>
        </is>
      </c>
      <c r="I28" s="10" t="inlineStr">
        <is>
          <t>Haute</t>
        </is>
      </c>
      <c r="J28" s="10" t="n"/>
      <c r="K28" s="11" t="n"/>
      <c r="L28" s="10" t="inlineStr">
        <is>
          <t>Non exécuté</t>
        </is>
      </c>
      <c r="M28" s="10" t="n"/>
      <c r="N28" s="10" t="n"/>
    </row>
    <row r="29">
      <c r="A29" s="10" t="inlineStr">
        <is>
          <t>TC-024</t>
        </is>
      </c>
      <c r="B29" s="10" t="inlineStr">
        <is>
          <t>AC4</t>
        </is>
      </c>
      <c r="C29" s="10" t="inlineStr">
        <is>
          <t>Limite</t>
        </is>
      </c>
      <c r="D29" s="10" t="inlineStr">
        <is>
          <t>Combinaison Spécifique au pilier + « Si applicable »</t>
        </is>
      </c>
      <c r="E29" s="10" t="inlineStr">
        <is>
          <t>Candidat</t>
        </is>
      </c>
      <c r="F29" s="10" t="inlineStr">
        <is>
          <t>Question spécifique au pilier A, « Si applicable » ; candidat du pilier A.</t>
        </is>
      </c>
      <c r="G29" s="10" t="inlineStr">
        <is>
          <t>1. Laisser la question vide.
2. Soumettre.</t>
        </is>
      </c>
      <c r="H29" s="10" t="inlineStr">
        <is>
          <t>Question visible pour le pilier A, optionnelle : soumission acceptée.</t>
        </is>
      </c>
      <c r="I29" s="10" t="inlineStr">
        <is>
          <t>Moyenne</t>
        </is>
      </c>
      <c r="J29" s="10" t="n"/>
      <c r="K29" s="11" t="n"/>
      <c r="L29" s="10" t="inlineStr">
        <is>
          <t>Non exécuté</t>
        </is>
      </c>
      <c r="M29" s="10" t="n"/>
      <c r="N29" s="10" t="n"/>
    </row>
    <row r="30">
      <c r="A30" s="10" t="inlineStr">
        <is>
          <t>TC-025</t>
        </is>
      </c>
      <c r="B30" s="10" t="inlineStr">
        <is>
          <t>AC4</t>
        </is>
      </c>
      <c r="C30" s="10" t="inlineStr">
        <is>
          <t>Limite</t>
        </is>
      </c>
      <c r="D30" s="10" t="inlineStr">
        <is>
          <t>Passage de Spécifique à Socle commun</t>
        </is>
      </c>
      <c r="E30" s="10" t="inlineStr">
        <is>
          <t>Responsable pilier</t>
        </is>
      </c>
      <c r="F30" s="10" t="inlineStr">
        <is>
          <t>Question spécifique au pilier A.</t>
        </is>
      </c>
      <c r="G30" s="10" t="inlineStr">
        <is>
          <t>1. Changer la portée en « Socle commun ».
2. Ouvrir le formulaire du pilier B en candidat.</t>
        </is>
      </c>
      <c r="H30" s="10" t="inlineStr">
        <is>
          <t>La question apparaît désormais pour le pilier B.</t>
        </is>
      </c>
      <c r="I30" s="10" t="inlineStr">
        <is>
          <t>Moyenne</t>
        </is>
      </c>
      <c r="J30" s="10" t="n"/>
      <c r="K30" s="11" t="n"/>
      <c r="L30" s="10" t="inlineStr">
        <is>
          <t>Non exécuté</t>
        </is>
      </c>
      <c r="M30" s="10" t="n"/>
      <c r="N30" s="10" t="n"/>
    </row>
    <row r="31">
      <c r="A31" s="10" t="inlineStr">
        <is>
          <t>TC-026</t>
        </is>
      </c>
      <c r="B31" s="10" t="inlineStr">
        <is>
          <t>AC4</t>
        </is>
      </c>
      <c r="C31" s="10" t="inlineStr">
        <is>
          <t>Limite</t>
        </is>
      </c>
      <c r="D31" s="10" t="inlineStr">
        <is>
          <t>Passage de Socle commun à Spécifique (réponses existantes)</t>
        </is>
      </c>
      <c r="E31" s="10" t="inlineStr">
        <is>
          <t>Responsable pilier</t>
        </is>
      </c>
      <c r="F31" s="10" t="inlineStr">
        <is>
          <t>Question Socle commun déjà renseignée par des candidats des piliers A et B.</t>
        </is>
      </c>
      <c r="G31" s="10" t="inlineStr">
        <is>
          <t>1. Changer la portée en « Spécifique » (pilier A).
2. Consulter les formulaires des piliers A et B.</t>
        </is>
      </c>
      <c r="H31" s="10" t="inlineStr">
        <is>
          <t>La question disparaît du pilier B. Sort des réponses déjà saisies par B : À CONFIRMER avec le métier.</t>
        </is>
      </c>
      <c r="I31" s="10" t="inlineStr">
        <is>
          <t>Moyenne</t>
        </is>
      </c>
      <c r="J31" s="10" t="n"/>
      <c r="K31" s="11" t="n"/>
      <c r="L31" s="10" t="inlineStr">
        <is>
          <t>Non exécuté</t>
        </is>
      </c>
      <c r="M31" s="10" t="n"/>
      <c r="N31" s="10" t="n"/>
    </row>
    <row r="32">
      <c r="A32" s="8" t="inlineStr">
        <is>
          <t>Transverse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A33" s="10" t="inlineStr">
        <is>
          <t>TC-027</t>
        </is>
      </c>
      <c r="B33" s="10" t="inlineStr">
        <is>
          <t>Transverse</t>
        </is>
      </c>
      <c r="C33" s="10" t="inlineStr">
        <is>
          <t>Négatif</t>
        </is>
      </c>
      <c r="D33" s="10" t="inlineStr">
        <is>
          <t>Libellé de question vide refusé</t>
        </is>
      </c>
      <c r="E33" s="10" t="inlineStr">
        <is>
          <t>Responsable pilier</t>
        </is>
      </c>
      <c r="F33" s="10" t="inlineStr">
        <is>
          <t>Création de question en cours.</t>
        </is>
      </c>
      <c r="G33" s="10" t="inlineStr">
        <is>
          <t>1. Laisser le libellé vide.
2. Enregistrer.</t>
        </is>
      </c>
      <c r="H33" s="10" t="inlineStr">
        <is>
          <t>Enregistrement refusé : le libellé est requis.</t>
        </is>
      </c>
      <c r="I33" s="10" t="inlineStr">
        <is>
          <t>Moyenne</t>
        </is>
      </c>
      <c r="J33" s="10" t="n"/>
      <c r="K33" s="11" t="n"/>
      <c r="L33" s="10" t="inlineStr">
        <is>
          <t>Non exécuté</t>
        </is>
      </c>
      <c r="M33" s="10" t="n"/>
      <c r="N33" s="10" t="n"/>
    </row>
    <row r="34">
      <c r="A34" s="10" t="inlineStr">
        <is>
          <t>TC-028</t>
        </is>
      </c>
      <c r="B34" s="10" t="inlineStr">
        <is>
          <t>Transverse</t>
        </is>
      </c>
      <c r="C34" s="10" t="inlineStr">
        <is>
          <t>Positif</t>
        </is>
      </c>
      <c r="D34" s="10" t="inlineStr">
        <is>
          <t>Libellés bilingues sur Experience Cloud</t>
        </is>
      </c>
      <c r="E34" s="10" t="inlineStr">
        <is>
          <t>Candidat</t>
        </is>
      </c>
      <c r="F34" s="10" t="inlineStr">
        <is>
          <t>Question créée avec traductions EN/FR ; site Experience Cloud.</t>
        </is>
      </c>
      <c r="G34" s="10" t="inlineStr">
        <is>
          <t>1. Ouvrir le formulaire en anglais puis en français.</t>
        </is>
      </c>
      <c r="H34" s="10" t="inlineStr">
        <is>
          <t>Libellé de la question et mention d'obligation affichés dans la langue choisie.</t>
        </is>
      </c>
      <c r="I34" s="10" t="inlineStr">
        <is>
          <t>Basse</t>
        </is>
      </c>
      <c r="J34" s="10" t="n"/>
      <c r="K34" s="11" t="n"/>
      <c r="L34" s="10" t="inlineStr">
        <is>
          <t>Non exécuté</t>
        </is>
      </c>
      <c r="M34" s="10" t="n"/>
      <c r="N34" s="10" t="n"/>
    </row>
    <row r="35">
      <c r="A35" s="8" t="inlineStr">
        <is>
          <t>AC5 – Suppression d'un programme – nettoyage du formulaire cloné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</row>
    <row r="36">
      <c r="A36" s="10" t="inlineStr">
        <is>
          <t>TC-029</t>
        </is>
      </c>
      <c r="B36" s="10" t="inlineStr">
        <is>
          <t>AC5</t>
        </is>
      </c>
      <c r="C36" s="10" t="inlineStr">
        <is>
          <t>Positif</t>
        </is>
      </c>
      <c r="D36" s="10" t="inlineStr">
        <is>
          <t>Suppression d'un programme : le formulaire cloné est supprimé</t>
        </is>
      </c>
      <c r="E36" s="10" t="inlineStr">
        <is>
          <t>Responsable pilier</t>
        </is>
      </c>
      <c r="F36" s="10" t="inlineStr">
        <is>
          <t>Programme (FundingOpportunity) créé après la configuration du Socle commun et du pilier A : son formulaire a été cloné automatiquement (questions préconfigurées dynamiques et Fixed). Une question dynamique a aussi été ajoutée à la main.</t>
        </is>
      </c>
      <c r="G36" s="10" t="inlineStr">
        <is>
          <t>1. Supprimer le programme.
2. Vérifier (liste ou requête) les assignments, sections et questions rattachés à ce programme.</t>
        </is>
      </c>
      <c r="H36" s="10" t="inlineStr">
        <is>
          <t>Le programme est supprimé sans erreur. Plus aucun assignment, section ni question clonés ne lui sont rattachés, y compris les questions préconfigurées et la question ajoutée à la main.</t>
        </is>
      </c>
      <c r="I36" s="10" t="inlineStr">
        <is>
          <t>Haute</t>
        </is>
      </c>
      <c r="J36" s="10" t="n"/>
      <c r="K36" s="11" t="n"/>
      <c r="L36" s="10" t="inlineStr">
        <is>
          <t>Non exécuté</t>
        </is>
      </c>
      <c r="M36" s="10" t="n"/>
      <c r="N36" s="10" t="n"/>
    </row>
    <row r="37">
      <c r="A37" s="10" t="inlineStr">
        <is>
          <t>TC-030</t>
        </is>
      </c>
      <c r="B37" s="10" t="inlineStr">
        <is>
          <t>AC5</t>
        </is>
      </c>
      <c r="C37" s="10" t="inlineStr">
        <is>
          <t>Positif</t>
        </is>
      </c>
      <c r="D37" s="10" t="inlineStr">
        <is>
          <t>Les modèles Socle commun et Pilier restent intacts</t>
        </is>
      </c>
      <c r="E37" s="10" t="inlineStr">
        <is>
          <t>Responsable pilier</t>
        </is>
      </c>
      <c r="F37" s="10" t="inlineStr">
        <is>
          <t>Idem TC-029.</t>
        </is>
      </c>
      <c r="G37" s="10" t="inlineStr">
        <is>
          <t>1. Supprimer le programme.
2. Consulter les modèles du Socle commun et du pilier A.
3. Créer un nouveau programme du pilier A.</t>
        </is>
      </c>
      <c r="H37" s="10" t="inlineStr">
        <is>
          <t>Les modèles sont inchangés. Le nouveau programme reçoit de nouveau toutes les questions du Socle commun et du pilier A.</t>
        </is>
      </c>
      <c r="I37" s="10" t="inlineStr">
        <is>
          <t>Haute</t>
        </is>
      </c>
      <c r="J37" s="10" t="n"/>
      <c r="K37" s="11" t="n"/>
      <c r="L37" s="10" t="inlineStr">
        <is>
          <t>Non exécuté</t>
        </is>
      </c>
      <c r="M37" s="10" t="n"/>
      <c r="N37" s="10" t="n"/>
    </row>
    <row r="38">
      <c r="A38" s="10" t="inlineStr">
        <is>
          <t>TC-031</t>
        </is>
      </c>
      <c r="B38" s="10" t="inlineStr">
        <is>
          <t>AC5</t>
        </is>
      </c>
      <c r="C38" s="10" t="inlineStr">
        <is>
          <t>Positif</t>
        </is>
      </c>
      <c r="D38" s="10" t="inlineStr">
        <is>
          <t>Les réponses des candidats liées au programme sont supprimées</t>
        </is>
      </c>
      <c r="E38" s="10" t="inlineStr">
        <is>
          <t>Responsable pilier</t>
        </is>
      </c>
      <c r="F38" s="10" t="inlineStr">
        <is>
          <t>Un candidat a enregistré des réponses dans le formulaire du programme.</t>
        </is>
      </c>
      <c r="G38" s="10" t="inlineStr">
        <is>
          <t>1. Supprimer le programme.
2. Rechercher les réponses (AssessmentQuestionResponse) liées aux questions de ce programme.</t>
        </is>
      </c>
      <c r="H38" s="10" t="inlineStr">
        <is>
          <t>Aucune réponse liée aux questions clonées du programme ne subsiste.</t>
        </is>
      </c>
      <c r="I38" s="10" t="inlineStr">
        <is>
          <t>Haute</t>
        </is>
      </c>
      <c r="J38" s="10" t="n"/>
      <c r="K38" s="11" t="n"/>
      <c r="L38" s="10" t="inlineStr">
        <is>
          <t>Non exécuté</t>
        </is>
      </c>
      <c r="M38" s="10" t="n"/>
      <c r="N38" s="10" t="n"/>
    </row>
    <row r="39">
      <c r="A39" s="10" t="inlineStr">
        <is>
          <t>TC-032</t>
        </is>
      </c>
      <c r="B39" s="10" t="inlineStr">
        <is>
          <t>AC5</t>
        </is>
      </c>
      <c r="C39" s="10" t="inlineStr">
        <is>
          <t>Positif</t>
        </is>
      </c>
      <c r="D39" s="10" t="inlineStr">
        <is>
          <t>Les questions préconfigurées, non supprimables à la main, partent avec le programme</t>
        </is>
      </c>
      <c r="E39" s="10" t="inlineStr">
        <is>
          <t>Responsable pilier</t>
        </is>
      </c>
      <c r="F39" s="10" t="inlineStr">
        <is>
          <t>Idem TC-029 ; vérifier au préalable qu'une question préconfigurée ne peut pas être retirée depuis le formulaire.</t>
        </is>
      </c>
      <c r="G39" s="10" t="inlineStr">
        <is>
          <t>1. Supprimer le programme.
2. Vérifier les questions préconfigurées (Socle commun et pilier) du programme.</t>
        </is>
      </c>
      <c r="H39" s="10" t="inlineStr">
        <is>
          <t>Les questions préconfigurées clonées sont supprimées avec le programme. La règle « non supprimable » ne s'applique qu'à la suppression manuelle.</t>
        </is>
      </c>
      <c r="I39" s="10" t="inlineStr">
        <is>
          <t>Haute</t>
        </is>
      </c>
      <c r="J39" s="10" t="n"/>
      <c r="K39" s="11" t="n"/>
      <c r="L39" s="10" t="inlineStr">
        <is>
          <t>Non exécuté</t>
        </is>
      </c>
      <c r="M39" s="10" t="n"/>
      <c r="N39" s="10" t="n"/>
    </row>
    <row r="40">
      <c r="A40" s="10" t="inlineStr">
        <is>
          <t>TC-033</t>
        </is>
      </c>
      <c r="B40" s="10" t="inlineStr">
        <is>
          <t>AC5</t>
        </is>
      </c>
      <c r="C40" s="10" t="inlineStr">
        <is>
          <t>Limite</t>
        </is>
      </c>
      <c r="D40" s="10" t="inlineStr">
        <is>
          <t>Un autre programme du même pilier n'est pas impacté</t>
        </is>
      </c>
      <c r="E40" s="10" t="inlineStr">
        <is>
          <t>Responsable pilier</t>
        </is>
      </c>
      <c r="F40" s="10" t="inlineStr">
        <is>
          <t>Deux programmes du pilier A, chacun avec son formulaire cloné.</t>
        </is>
      </c>
      <c r="G40" s="10" t="inlineStr">
        <is>
          <t>1. Supprimer le premier programme.
2. Ouvrir le formulaire du second programme.</t>
        </is>
      </c>
      <c r="H40" s="10" t="inlineStr">
        <is>
          <t>Le formulaire du second programme est intact : sections, questions, séquences et réponses inchangées.</t>
        </is>
      </c>
      <c r="I40" s="10" t="inlineStr">
        <is>
          <t>Haute</t>
        </is>
      </c>
      <c r="J40" s="10" t="n"/>
      <c r="K40" s="11" t="n"/>
      <c r="L40" s="10" t="inlineStr">
        <is>
          <t>Non exécuté</t>
        </is>
      </c>
      <c r="M40" s="10" t="n"/>
      <c r="N40" s="10" t="n"/>
    </row>
    <row r="41">
      <c r="A41" s="10" t="inlineStr">
        <is>
          <t>TC-034</t>
        </is>
      </c>
      <c r="B41" s="10" t="inlineStr">
        <is>
          <t>AC5</t>
        </is>
      </c>
      <c r="C41" s="10" t="inlineStr">
        <is>
          <t>Limite</t>
        </is>
      </c>
      <c r="D41" s="10" t="inlineStr">
        <is>
          <t>Suppression de plusieurs programmes en une seule fois</t>
        </is>
      </c>
      <c r="E41" s="10" t="inlineStr">
        <is>
          <t>Responsable pilier</t>
        </is>
      </c>
      <c r="F41" s="10" t="inlineStr">
        <is>
          <t>Au moins trois programmes avec formulaire cloné.</t>
        </is>
      </c>
      <c r="G41" s="10" t="inlineStr">
        <is>
          <t>1. Sélectionner les trois programmes dans la liste.
2. Les supprimer ensemble.</t>
        </is>
      </c>
      <c r="H41" s="10" t="inlineStr">
        <is>
          <t>Les trois programmes sont supprimés sans erreur. Aucun formulaire cloné ne subsiste pour aucun d'eux.</t>
        </is>
      </c>
      <c r="I41" s="10" t="inlineStr">
        <is>
          <t>Moyenne</t>
        </is>
      </c>
      <c r="J41" s="10" t="n"/>
      <c r="K41" s="11" t="n"/>
      <c r="L41" s="10" t="inlineStr">
        <is>
          <t>Non exécuté</t>
        </is>
      </c>
      <c r="M41" s="10" t="n"/>
      <c r="N41" s="10" t="n"/>
    </row>
    <row r="42">
      <c r="A42" s="10" t="inlineStr">
        <is>
          <t>TC-035</t>
        </is>
      </c>
      <c r="B42" s="10" t="inlineStr">
        <is>
          <t>AC5</t>
        </is>
      </c>
      <c r="C42" s="10" t="inlineStr">
        <is>
          <t>Limite</t>
        </is>
      </c>
      <c r="D42" s="10" t="inlineStr">
        <is>
          <t>Suppression d'un programme sans formulaire cloné</t>
        </is>
      </c>
      <c r="E42" s="10" t="inlineStr">
        <is>
          <t>Responsable pilier</t>
        </is>
      </c>
      <c r="F42" s="10" t="inlineStr">
        <is>
          <t>Programme sans aucun assignment (aucun modèle applicable ou formulaire vidé).</t>
        </is>
      </c>
      <c r="G42" s="10" t="inlineStr">
        <is>
          <t>1. Supprimer le programme.</t>
        </is>
      </c>
      <c r="H42" s="10" t="inlineStr">
        <is>
          <t>La suppression aboutit sans erreur.</t>
        </is>
      </c>
      <c r="I42" s="10" t="inlineStr">
        <is>
          <t>Moyenne</t>
        </is>
      </c>
      <c r="J42" s="10" t="n"/>
      <c r="K42" s="11" t="n"/>
      <c r="L42" s="10" t="inlineStr">
        <is>
          <t>Non exécuté</t>
        </is>
      </c>
      <c r="M42" s="10" t="n"/>
      <c r="N42" s="10" t="n"/>
    </row>
    <row r="43">
      <c r="A43" s="10" t="inlineStr">
        <is>
          <t>TC-036</t>
        </is>
      </c>
      <c r="B43" s="10" t="inlineStr">
        <is>
          <t>AC5</t>
        </is>
      </c>
      <c r="C43" s="10" t="inlineStr">
        <is>
          <t>Limite</t>
        </is>
      </c>
      <c r="D43" s="10" t="inlineStr">
        <is>
          <t>Question dont une version n'est pas en Brouillon</t>
        </is>
      </c>
      <c r="E43" s="10" t="inlineStr">
        <is>
          <t>Responsable pilier</t>
        </is>
      </c>
      <c r="F43" s="10" t="inlineStr">
        <is>
          <t>Programme dont une question clonée a une version archivée ou non en Brouillon.</t>
        </is>
      </c>
      <c r="G43" s="10" t="inlineStr">
        <is>
          <t>1. Supprimer le programme.
2. Vérifier la question concernée.</t>
        </is>
      </c>
      <c r="H43" s="10" t="inlineStr">
        <is>
          <t>La suppression du programme aboutit sans erreur. Les assignments et sections sont supprimés ; la question peut subsister sans assignment car elle ne peut pas être supprimée.</t>
        </is>
      </c>
      <c r="I43" s="10" t="inlineStr">
        <is>
          <t>Moyenne</t>
        </is>
      </c>
      <c r="J43" s="10" t="n"/>
      <c r="K43" s="11" t="n"/>
      <c r="L43" s="10" t="inlineStr">
        <is>
          <t>Non exécuté</t>
        </is>
      </c>
      <c r="M43" s="10" t="n"/>
      <c r="N43" s="10" t="n"/>
    </row>
    <row r="44">
      <c r="A44" s="10" t="inlineStr">
        <is>
          <t>TC-037</t>
        </is>
      </c>
      <c r="B44" s="10" t="inlineStr">
        <is>
          <t>AC5</t>
        </is>
      </c>
      <c r="C44" s="10" t="inlineStr">
        <is>
          <t>Négatif</t>
        </is>
      </c>
      <c r="D44" s="10" t="inlineStr">
        <is>
          <t>Suppression refusée sans droit de suppression sur le catalogue</t>
        </is>
      </c>
      <c r="E44" s="10" t="inlineStr">
        <is>
          <t>Responsable pilier</t>
        </is>
      </c>
      <c r="F44" s="10" t="inlineStr">
        <is>
          <t>Utilisateur sans droit de suppression sur les assignments, questions ou sections.</t>
        </is>
      </c>
      <c r="G44" s="10" t="inlineStr">
        <is>
          <t>1. Tenter de supprimer le programme.
2. Vérifier le programme et son formulaire.</t>
        </is>
      </c>
      <c r="H44" s="10" t="inlineStr">
        <is>
          <t>La suppression est refusée avec un message d'erreur. Le programme et son formulaire restent complets : rien n'est supprimé à moitié.</t>
        </is>
      </c>
      <c r="I44" s="10" t="inlineStr">
        <is>
          <t>Moyenne</t>
        </is>
      </c>
      <c r="J44" s="10" t="n"/>
      <c r="K44" s="11" t="n"/>
      <c r="L44" s="10" t="inlineStr">
        <is>
          <t>Non exécuté</t>
        </is>
      </c>
      <c r="M44" s="10" t="n"/>
      <c r="N44" s="10" t="n"/>
    </row>
  </sheetData>
  <autoFilter ref="A1:N44"/>
  <conditionalFormatting sqref="L2:L44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</conditionalFormatting>
  <dataValidations count="1">
    <dataValidation sqref="L2:L44" showDropDown="0" showInputMessage="0" showErrorMessage="0" allowBlank="0" type="list">
      <formula1>"Non exécuté,OK,KO,Bloqué"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2026-09-30T15:46:25Z</dcterms:created>
  <dcterms:modified xmlns:dcterms="http://purl.org/dc/terms/" xmlns:xsi="http://www.w3.org/2001/XMLSchema-instance" xsi:type="dcterms:W3CDTF">2026-10-01T11:41:39Z</dcterms:modified>
</cp:coreProperties>
</file>