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hier de test" sheetId="2" state="visible" r:id="rId2"/>
  </sheets>
  <definedNames>
    <definedName name="_xlnm._FilterDatabase" localSheetId="1" hidden="1">'Cahier de test'!$A$1:$N$45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1"/>
    </font>
    <font>
      <name val="Arial"/>
      <i val="1"/>
      <sz val="11"/>
    </font>
    <font>
      <name val="Arial"/>
      <b val="1"/>
      <color rgb="00FFFFFF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0" fillId="3" borderId="1" pivotButton="0" quotePrefix="0" xfId="0"/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Cahier de test — Section Budget du formulaire de candidature</t>
        </is>
      </c>
      <c r="B1" s="2" t="n"/>
    </row>
    <row r="2">
      <c r="A2" s="3" t="inlineStr">
        <is>
          <t>Tableaux Budget et Contreparties configurés par question, calculs et enregistrement dans le CRM</t>
        </is>
      </c>
      <c r="B2" s="2" t="n"/>
    </row>
    <row r="3">
      <c r="A3" s="4" t="n"/>
      <c r="B3" s="2" t="n"/>
    </row>
    <row r="4">
      <c r="A4" s="4" t="inlineStr">
        <is>
          <t>Objectif</t>
        </is>
      </c>
      <c r="B4" s="2" t="inlineStr">
        <is>
          <t>Vérifier que chaque question tableau affiche les bonnes colonnes, calcule totaux, pourcentages et montants en direct, applique les contrôles à la soumission et enregistre Budget, BudgetPeriod, BudgetCategory, BudgetCategoryValue, Benefit et ApplicationForm.RequestedAmount.</t>
        </is>
      </c>
    </row>
    <row r="5">
      <c r="A5" s="4" t="inlineStr">
        <is>
          <t>Environnement</t>
        </is>
      </c>
      <c r="B5" s="2" t="inlineStr">
        <is>
          <t>Sandbox uniquement (jamais la production).</t>
        </is>
      </c>
    </row>
    <row r="6">
      <c r="A6" s="4" t="inlineStr">
        <is>
          <t>Profils</t>
        </is>
      </c>
      <c r="B6" s="2" t="inlineStr">
        <is>
          <t>Candidat : remplit et soumet le formulaire. Administrateur : configure les questions et les programmes. Gestionnaire : consulte les Budgets dans le CRM. Système : enregistrement automatique, vérifié dans le CRM.</t>
        </is>
      </c>
    </row>
    <row r="7">
      <c r="A7" s="4" t="inlineStr">
        <is>
          <t>Préconditions générales</t>
        </is>
      </c>
      <c r="B7" s="2" t="inlineStr">
        <is>
          <t>4 questions tableau actives dans le Socle commun (section « Project budget ») ; programme créé ensuite et ouvert aux candidatures ; candidat Experience Cloud porteur de projet de son organisation.</t>
        </is>
      </c>
    </row>
    <row r="8">
      <c r="A8" s="4" t="inlineStr">
        <is>
          <t>Colonnes à remplir</t>
        </is>
      </c>
      <c r="B8" s="2" t="inlineStr">
        <is>
          <t>Testeur, Date, Résultat (liste : Non exécuté / OK / KO / Bloqué), Résultat obtenu, Commentaires. Les autres colonnes sont figées.</t>
        </is>
      </c>
    </row>
    <row r="9">
      <c r="A9" s="4" t="inlineStr">
        <is>
          <t>Exemple de saisie</t>
        </is>
      </c>
      <c r="B9" s="2" t="inlineStr">
        <is>
          <t>Testeur : Prénom Nom · Date : 30-09-2026 · Résultat : OK · Résultat obtenu : identique à l'attendu.</t>
        </is>
      </c>
    </row>
    <row r="10">
      <c r="A10" s="4" t="inlineStr">
        <is>
          <t>Hypothèses</t>
        </is>
      </c>
      <c r="B10" s="2" t="inlineStr">
        <is>
          <t>Libellés et valeurs de listes du sandbox au 19-10-2026. TC-021 attend une décision métier sur les dates de contrepartie. TC-033 et TC-034 supposent le composant « Budget Table » ajouté à la page Budget.</t>
        </is>
      </c>
    </row>
    <row r="11">
      <c r="A11" s="4" t="inlineStr">
        <is>
          <t>Synthèse</t>
        </is>
      </c>
      <c r="B11" s="2" t="inlineStr">
        <is>
          <t>Compteurs calculés depuis l'onglet Cahier de test.</t>
        </is>
      </c>
    </row>
    <row r="13">
      <c r="A13" s="5" t="inlineStr">
        <is>
          <t>Total de tests</t>
        </is>
      </c>
      <c r="B13" s="6">
        <f>COUNTIF('Cahier de test'!A2:A45,"TC-*")</f>
        <v/>
      </c>
    </row>
    <row r="14">
      <c r="A14" s="5" t="inlineStr">
        <is>
          <t>OK</t>
        </is>
      </c>
      <c r="B14" s="6">
        <f>COUNTIF('Cahier de test'!L2:L45,"OK")</f>
        <v/>
      </c>
    </row>
    <row r="15">
      <c r="A15" s="5" t="inlineStr">
        <is>
          <t>KO</t>
        </is>
      </c>
      <c r="B15" s="6">
        <f>COUNTIF('Cahier de test'!L2:L45,"KO")</f>
        <v/>
      </c>
    </row>
    <row r="16">
      <c r="A16" s="5" t="inlineStr">
        <is>
          <t>Bloqué</t>
        </is>
      </c>
      <c r="B16" s="6">
        <f>COUNTIF('Cahier de test'!L2:L45,"Bloqué")</f>
        <v/>
      </c>
    </row>
    <row r="17">
      <c r="A17" s="5" t="inlineStr">
        <is>
          <t>Non exécuté</t>
        </is>
      </c>
      <c r="B17" s="6">
        <f>COUNTIF('Cahier de test'!L2:L45,"Non exécuté")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38" customWidth="1" min="4" max="4"/>
    <col width="16" customWidth="1" min="5" max="5"/>
    <col width="36" customWidth="1" min="6" max="6"/>
    <col width="44" customWidth="1" min="7" max="7"/>
    <col width="44" customWidth="1" min="8" max="8"/>
    <col width="10" customWidth="1" min="9" max="9"/>
    <col width="14" customWidth="1" min="10" max="10"/>
    <col width="12" customWidth="1" min="11" max="11"/>
    <col width="13" customWidth="1" min="12" max="12"/>
    <col width="30" customWidth="1" min="13" max="13"/>
    <col width="30" customWidth="1" min="14" max="14"/>
  </cols>
  <sheetData>
    <row r="1">
      <c r="A1" s="7" t="inlineStr">
        <is>
          <t>ID</t>
        </is>
      </c>
      <c r="B1" s="7" t="inlineStr">
        <is>
          <t>Critère d'acceptation</t>
        </is>
      </c>
      <c r="C1" s="7" t="inlineStr">
        <is>
          <t>Type</t>
        </is>
      </c>
      <c r="D1" s="7" t="inlineStr">
        <is>
          <t>Titre du test</t>
        </is>
      </c>
      <c r="E1" s="7" t="inlineStr">
        <is>
          <t>Profil</t>
        </is>
      </c>
      <c r="F1" s="7" t="inlineStr">
        <is>
          <t>Préconditions</t>
        </is>
      </c>
      <c r="G1" s="7" t="inlineStr">
        <is>
          <t>Étapes</t>
        </is>
      </c>
      <c r="H1" s="7" t="inlineStr">
        <is>
          <t>Résultat attendu</t>
        </is>
      </c>
      <c r="I1" s="7" t="inlineStr">
        <is>
          <t>Priorité</t>
        </is>
      </c>
      <c r="J1" s="7" t="inlineStr">
        <is>
          <t>Testeur</t>
        </is>
      </c>
      <c r="K1" s="7" t="inlineStr">
        <is>
          <t>Date</t>
        </is>
      </c>
      <c r="L1" s="7" t="inlineStr">
        <is>
          <t>Résultat</t>
        </is>
      </c>
      <c r="M1" s="7" t="inlineStr">
        <is>
          <t>Résultat obtenu</t>
        </is>
      </c>
      <c r="N1" s="7" t="inlineStr">
        <is>
          <t>Commentaires</t>
        </is>
      </c>
    </row>
    <row r="2">
      <c r="A2" s="8" t="inlineStr">
        <is>
          <t>AC1 — Tableaux générés depuis la configuration de la question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10" t="inlineStr">
        <is>
          <t>TC-001</t>
        </is>
      </c>
      <c r="B3" s="10" t="inlineStr">
        <is>
          <t>AC1</t>
        </is>
      </c>
      <c r="C3" s="10" t="inlineStr">
        <is>
          <t>Positif</t>
        </is>
      </c>
      <c r="D3" s="10" t="inlineStr">
        <is>
          <t>Les 4 tableaux s'affichent dans la section Budget</t>
        </is>
      </c>
      <c r="E3" s="10" t="inlineStr">
        <is>
          <t>Candidat</t>
        </is>
      </c>
      <c r="F3" s="10" t="inlineStr">
        <is>
          <t>Programme (FundingOpportunity) créé après la mise en place des 4 questions tableau du Socle commun (section « Project budget ») ; formulaire complet (non EOI) ouvert.</t>
        </is>
      </c>
      <c r="G3" s="10" t="inlineStr">
        <is>
          <t>1. Ouvrir le formulaire.
2. Aller à la section « Project budget ».</t>
        </is>
      </c>
      <c r="H3" s="10" t="inlineStr">
        <is>
          <t>4 tableaux en accordéon ouvert : Budget total par année, Budget demandé, Partenaires financiers, Contreparties. Titre et aide (i) issus de la question.</t>
        </is>
      </c>
      <c r="I3" s="10" t="inlineStr">
        <is>
          <t>Haute</t>
        </is>
      </c>
      <c r="J3" s="10" t="n"/>
      <c r="K3" s="11" t="n"/>
      <c r="L3" s="10" t="inlineStr">
        <is>
          <t>Non exécuté</t>
        </is>
      </c>
      <c r="M3" s="10" t="n"/>
      <c r="N3" s="10" t="n"/>
    </row>
    <row r="4">
      <c r="A4" s="10" t="inlineStr">
        <is>
          <t>TC-002</t>
        </is>
      </c>
      <c r="B4" s="10" t="inlineStr">
        <is>
          <t>AC1</t>
        </is>
      </c>
      <c r="C4" s="10" t="inlineStr">
        <is>
          <t>Positif</t>
        </is>
      </c>
      <c r="D4" s="10" t="inlineStr">
        <is>
          <t>Colonnes du tableau « Budget total du projet par année »</t>
        </is>
      </c>
      <c r="E4" s="10" t="inlineStr">
        <is>
          <t>Candidat</t>
        </is>
      </c>
      <c r="F4" s="10" t="inlineStr">
        <is>
          <t>Idem TC-001.</t>
        </is>
      </c>
      <c r="G4" s="10" t="inlineStr">
        <is>
          <t>1. Consulter les en-têtes du tableau.</t>
        </is>
      </c>
      <c r="H4" s="10" t="inlineStr">
        <is>
          <t>Colonnes : Poste, Année 1 (€) … Année 5 (€), Total (€). Pas de Pourcentage, pas de listes de choix.</t>
        </is>
      </c>
      <c r="I4" s="10" t="inlineStr">
        <is>
          <t>Haute</t>
        </is>
      </c>
      <c r="J4" s="10" t="n"/>
      <c r="K4" s="11" t="n"/>
      <c r="L4" s="10" t="inlineStr">
        <is>
          <t>Non exécuté</t>
        </is>
      </c>
      <c r="M4" s="10" t="n"/>
      <c r="N4" s="10" t="n"/>
    </row>
    <row r="5">
      <c r="A5" s="10" t="inlineStr">
        <is>
          <t>TC-003</t>
        </is>
      </c>
      <c r="B5" s="10" t="inlineStr">
        <is>
          <t>AC1</t>
        </is>
      </c>
      <c r="C5" s="10" t="inlineStr">
        <is>
          <t>Positif</t>
        </is>
      </c>
      <c r="D5" s="10" t="inlineStr">
        <is>
          <t>Colonnes du tableau « Budget demandé à la Fondation AXA »</t>
        </is>
      </c>
      <c r="E5" s="10" t="inlineStr">
        <is>
          <t>Candidat</t>
        </is>
      </c>
      <c r="F5" s="10" t="inlineStr">
        <is>
          <t>Idem TC-001.</t>
        </is>
      </c>
      <c r="G5" s="10" t="inlineStr">
        <is>
          <t>1. Consulter les en-têtes du tableau.</t>
        </is>
      </c>
      <c r="H5" s="10" t="inlineStr">
        <is>
          <t>Colonnes : Poste, Année 1 (€) … Année 5 (€), Total (€).</t>
        </is>
      </c>
      <c r="I5" s="10" t="inlineStr">
        <is>
          <t>Haute</t>
        </is>
      </c>
      <c r="J5" s="10" t="n"/>
      <c r="K5" s="11" t="n"/>
      <c r="L5" s="10" t="inlineStr">
        <is>
          <t>Non exécuté</t>
        </is>
      </c>
      <c r="M5" s="10" t="n"/>
      <c r="N5" s="10" t="n"/>
    </row>
    <row r="6">
      <c r="A6" s="10" t="inlineStr">
        <is>
          <t>TC-004</t>
        </is>
      </c>
      <c r="B6" s="10" t="inlineStr">
        <is>
          <t>AC1</t>
        </is>
      </c>
      <c r="C6" s="10" t="inlineStr">
        <is>
          <t>Positif</t>
        </is>
      </c>
      <c r="D6" s="10" t="inlineStr">
        <is>
          <t>Colonnes du tableau « Partenaires financiers »</t>
        </is>
      </c>
      <c r="E6" s="10" t="inlineStr">
        <is>
          <t>Candidat</t>
        </is>
      </c>
      <c r="F6" s="10" t="inlineStr">
        <is>
          <t>Idem TC-001.</t>
        </is>
      </c>
      <c r="G6" s="10" t="inlineStr">
        <is>
          <t>1. Consulter les en-têtes du tableau.</t>
        </is>
      </c>
      <c r="H6" s="10" t="inlineStr">
        <is>
          <t>Colonnes : Poste, Sécurisé ou prévu, Public ou privé, Année 1 (€) … Année 3 (€), Total (€), Pourcentage.</t>
        </is>
      </c>
      <c r="I6" s="10" t="inlineStr">
        <is>
          <t>Haute</t>
        </is>
      </c>
      <c r="J6" s="10" t="n"/>
      <c r="K6" s="11" t="n"/>
      <c r="L6" s="10" t="inlineStr">
        <is>
          <t>Non exécuté</t>
        </is>
      </c>
      <c r="M6" s="10" t="n"/>
      <c r="N6" s="10" t="n"/>
    </row>
    <row r="7">
      <c r="A7" s="10" t="inlineStr">
        <is>
          <t>TC-005</t>
        </is>
      </c>
      <c r="B7" s="10" t="inlineStr">
        <is>
          <t>AC1</t>
        </is>
      </c>
      <c r="C7" s="10" t="inlineStr">
        <is>
          <t>Positif</t>
        </is>
      </c>
      <c r="D7" s="10" t="inlineStr">
        <is>
          <t>Colonnes du tableau « Contreparties »</t>
        </is>
      </c>
      <c r="E7" s="10" t="inlineStr">
        <is>
          <t>Candidat</t>
        </is>
      </c>
      <c r="F7" s="10" t="inlineStr">
        <is>
          <t>Idem TC-001.</t>
        </is>
      </c>
      <c r="G7" s="10" t="inlineStr">
        <is>
          <t>1. Consulter les en-têtes du tableau.</t>
        </is>
      </c>
      <c r="H7" s="10" t="inlineStr">
        <is>
          <t>Colonnes : Intitulé, Montant, Valide du, Valide jusqu'au, Type de contrepartie, Description. Pas de colonne d'année ni de total.</t>
        </is>
      </c>
      <c r="I7" s="10" t="inlineStr">
        <is>
          <t>Haute</t>
        </is>
      </c>
      <c r="J7" s="10" t="n"/>
      <c r="K7" s="11" t="n"/>
      <c r="L7" s="10" t="inlineStr">
        <is>
          <t>Non exécuté</t>
        </is>
      </c>
      <c r="M7" s="10" t="n"/>
      <c r="N7" s="10" t="n"/>
    </row>
    <row r="8">
      <c r="A8" s="10" t="inlineStr">
        <is>
          <t>TC-006</t>
        </is>
      </c>
      <c r="B8" s="10" t="inlineStr">
        <is>
          <t>AC1</t>
        </is>
      </c>
      <c r="C8" s="10" t="inlineStr">
        <is>
          <t>Positif</t>
        </is>
      </c>
      <c r="D8" s="10" t="inlineStr">
        <is>
          <t>Les listes de choix proposent les valeurs du CRM</t>
        </is>
      </c>
      <c r="E8" s="10" t="inlineStr">
        <is>
          <t>Candidat</t>
        </is>
      </c>
      <c r="F8" s="10" t="inlineStr">
        <is>
          <t>Idem TC-001.</t>
        </is>
      </c>
      <c r="G8" s="10" t="inlineStr">
        <is>
          <t>1. Ouvrir les listes « Sécurisé ou prévu », « Public ou privé » et « Type de contrepartie ».</t>
        </is>
      </c>
      <c r="H8" s="10" t="inlineStr">
        <is>
          <t>Les valeurs sont celles des listes BudgetCategoryValue.FundingStatus__c, FundingType__c et Benefit.Type__c ; une seule valeur sélectionnable.</t>
        </is>
      </c>
      <c r="I8" s="10" t="inlineStr">
        <is>
          <t>Moyenne</t>
        </is>
      </c>
      <c r="J8" s="10" t="n"/>
      <c r="K8" s="11" t="n"/>
      <c r="L8" s="10" t="inlineStr">
        <is>
          <t>Non exécuté</t>
        </is>
      </c>
      <c r="M8" s="10" t="n"/>
      <c r="N8" s="10" t="n"/>
    </row>
    <row r="9">
      <c r="A9" s="10" t="inlineStr">
        <is>
          <t>TC-007</t>
        </is>
      </c>
      <c r="B9" s="10" t="inlineStr">
        <is>
          <t>AC1</t>
        </is>
      </c>
      <c r="C9" s="10" t="inlineStr">
        <is>
          <t>Limite</t>
        </is>
      </c>
      <c r="D9" s="10" t="inlineStr">
        <is>
          <t>Changement du nombre d'années dans la configuration</t>
        </is>
      </c>
      <c r="E9" s="10" t="inlineStr">
        <is>
          <t>Administrateur</t>
        </is>
      </c>
      <c r="F9" s="10" t="inlineStr">
        <is>
          <t>Programme de test ; accès à la version de la question « Partenaires financiers » du programme.</t>
        </is>
      </c>
      <c r="G9" s="10" t="inlineStr">
        <is>
          <t>1. Passer NumberOfYears__c de 3 à 2.
2. Recharger le formulaire candidat.</t>
        </is>
      </c>
      <c r="H9" s="10" t="inlineStr">
        <is>
          <t>Le tableau affiche Année 1 et Année 2 seulement.</t>
        </is>
      </c>
      <c r="I9" s="10" t="inlineStr">
        <is>
          <t>Basse</t>
        </is>
      </c>
      <c r="J9" s="10" t="n"/>
      <c r="K9" s="11" t="n"/>
      <c r="L9" s="10" t="inlineStr">
        <is>
          <t>Non exécuté</t>
        </is>
      </c>
      <c r="M9" s="10" t="n"/>
      <c r="N9" s="10" t="n"/>
    </row>
    <row r="10">
      <c r="A10" s="10" t="inlineStr">
        <is>
          <t>TC-008</t>
        </is>
      </c>
      <c r="B10" s="10" t="inlineStr">
        <is>
          <t>AC1</t>
        </is>
      </c>
      <c r="C10" s="10" t="inlineStr">
        <is>
          <t>Limite</t>
        </is>
      </c>
      <c r="D10" s="10" t="inlineStr">
        <is>
          <t>Aucun bloc budget sans question tableau</t>
        </is>
      </c>
      <c r="E10" s="10" t="inlineStr">
        <is>
          <t>Candidat</t>
        </is>
      </c>
      <c r="F10" s="10" t="inlineStr">
        <is>
          <t>Programme sans question tableau.</t>
        </is>
      </c>
      <c r="G10" s="10" t="inlineStr">
        <is>
          <t>1. Ouvrir le formulaire.</t>
        </is>
      </c>
      <c r="H10" s="10" t="inlineStr">
        <is>
          <t>Aucun bloc budget n'est affiché ; le reste du formulaire fonctionne.</t>
        </is>
      </c>
      <c r="I10" s="10" t="inlineStr">
        <is>
          <t>Moyenne</t>
        </is>
      </c>
      <c r="J10" s="10" t="n"/>
      <c r="K10" s="11" t="n"/>
      <c r="L10" s="10" t="inlineStr">
        <is>
          <t>Non exécuté</t>
        </is>
      </c>
      <c r="M10" s="10" t="n"/>
      <c r="N10" s="10" t="n"/>
    </row>
    <row r="11">
      <c r="A11" s="8" t="inlineStr">
        <is>
          <t>AC2 — Saisie, totaux et pourcentages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10" t="inlineStr">
        <is>
          <t>TC-009</t>
        </is>
      </c>
      <c r="B12" s="10" t="inlineStr">
        <is>
          <t>AC2</t>
        </is>
      </c>
      <c r="C12" s="10" t="inlineStr">
        <is>
          <t>Positif</t>
        </is>
      </c>
      <c r="D12" s="10" t="inlineStr">
        <is>
          <t>Total par ligne calculé en direct</t>
        </is>
      </c>
      <c r="E12" s="10" t="inlineStr">
        <is>
          <t>Candidat</t>
        </is>
      </c>
      <c r="F12" s="10" t="inlineStr">
        <is>
          <t>Idem TC-001.</t>
        </is>
      </c>
      <c r="G12" s="10" t="inlineStr">
        <is>
          <t>1. Dans « Budget total », saisir Année 1 = 1 000 et Année 3 = 500.</t>
        </is>
      </c>
      <c r="H12" s="10" t="inlineStr">
        <is>
          <t>Le Total (€) de la ligne affiche 1 500,00 € sans enregistrer.</t>
        </is>
      </c>
      <c r="I12" s="10" t="inlineStr">
        <is>
          <t>Haute</t>
        </is>
      </c>
      <c r="J12" s="10" t="n"/>
      <c r="K12" s="11" t="n"/>
      <c r="L12" s="10" t="inlineStr">
        <is>
          <t>Non exécuté</t>
        </is>
      </c>
      <c r="M12" s="10" t="n"/>
      <c r="N12" s="10" t="n"/>
    </row>
    <row r="13">
      <c r="A13" s="10" t="inlineStr">
        <is>
          <t>TC-010</t>
        </is>
      </c>
      <c r="B13" s="10" t="inlineStr">
        <is>
          <t>AC2</t>
        </is>
      </c>
      <c r="C13" s="10" t="inlineStr">
        <is>
          <t>Positif</t>
        </is>
      </c>
      <c r="D13" s="10" t="inlineStr">
        <is>
          <t>Montants en lecture seule en haut du bloc</t>
        </is>
      </c>
      <c r="E13" s="10" t="inlineStr">
        <is>
          <t>Candidat</t>
        </is>
      </c>
      <c r="F13" s="10" t="inlineStr">
        <is>
          <t>Idem TC-001.</t>
        </is>
      </c>
      <c r="G13" s="10" t="inlineStr">
        <is>
          <t>1. Remplir « Budget total » (2 lignes) et « Budget demandé ».
2. Observer les deux montants en haut du bloc.</t>
        </is>
      </c>
      <c r="H13" s="10" t="inlineStr">
        <is>
          <t>« Budget total du projet » = total du tableau Budget total ; « Budget demandé à la Fondation AXA… » = total du tableau Budget demandé. Non modifiables, mis à jour à chaque saisie.</t>
        </is>
      </c>
      <c r="I13" s="10" t="inlineStr">
        <is>
          <t>Haute</t>
        </is>
      </c>
      <c r="J13" s="10" t="n"/>
      <c r="K13" s="11" t="n"/>
      <c r="L13" s="10" t="inlineStr">
        <is>
          <t>Non exécuté</t>
        </is>
      </c>
      <c r="M13" s="10" t="n"/>
      <c r="N13" s="10" t="n"/>
    </row>
    <row r="14">
      <c r="A14" s="10" t="inlineStr">
        <is>
          <t>TC-011</t>
        </is>
      </c>
      <c r="B14" s="10" t="inlineStr">
        <is>
          <t>AC2</t>
        </is>
      </c>
      <c r="C14" s="10" t="inlineStr">
        <is>
          <t>Positif</t>
        </is>
      </c>
      <c r="D14" s="10" t="inlineStr">
        <is>
          <t>Pourcentage calculé dans son propre tableau</t>
        </is>
      </c>
      <c r="E14" s="10" t="inlineStr">
        <is>
          <t>Candidat</t>
        </is>
      </c>
      <c r="F14" s="10" t="inlineStr">
        <is>
          <t>Idem TC-001.</t>
        </is>
      </c>
      <c r="G14" s="10" t="inlineStr">
        <is>
          <t>1. Dans « Partenaires financiers », saisir ligne A = 300 et ligne B = 700.</t>
        </is>
      </c>
      <c r="H14" s="10" t="inlineStr">
        <is>
          <t>Pourcentage : A = 30 %, B = 70 %. Le calcul ne dépend pas des autres tableaux.</t>
        </is>
      </c>
      <c r="I14" s="10" t="inlineStr">
        <is>
          <t>Haute</t>
        </is>
      </c>
      <c r="J14" s="10" t="n"/>
      <c r="K14" s="11" t="n"/>
      <c r="L14" s="10" t="inlineStr">
        <is>
          <t>Non exécuté</t>
        </is>
      </c>
      <c r="M14" s="10" t="n"/>
      <c r="N14" s="10" t="n"/>
    </row>
    <row r="15">
      <c r="A15" s="10" t="inlineStr">
        <is>
          <t>TC-012</t>
        </is>
      </c>
      <c r="B15" s="10" t="inlineStr">
        <is>
          <t>AC2</t>
        </is>
      </c>
      <c r="C15" s="10" t="inlineStr">
        <is>
          <t>Limite</t>
        </is>
      </c>
      <c r="D15" s="10" t="inlineStr">
        <is>
          <t>Pourcentage sans montant</t>
        </is>
      </c>
      <c r="E15" s="10" t="inlineStr">
        <is>
          <t>Candidat</t>
        </is>
      </c>
      <c r="F15" s="10" t="inlineStr">
        <is>
          <t>Idem TC-001.</t>
        </is>
      </c>
      <c r="G15" s="10" t="inlineStr">
        <is>
          <t>1. Saisir un poste sans montant dans « Partenaires financiers ».</t>
        </is>
      </c>
      <c r="H15" s="10" t="inlineStr">
        <is>
          <t>Le pourcentage affiche « — » (pas de division par zéro).</t>
        </is>
      </c>
      <c r="I15" s="10" t="inlineStr">
        <is>
          <t>Moyenne</t>
        </is>
      </c>
      <c r="J15" s="10" t="n"/>
      <c r="K15" s="11" t="n"/>
      <c r="L15" s="10" t="inlineStr">
        <is>
          <t>Non exécuté</t>
        </is>
      </c>
      <c r="M15" s="10" t="n"/>
      <c r="N15" s="10" t="n"/>
    </row>
    <row r="16">
      <c r="A16" s="10" t="inlineStr">
        <is>
          <t>TC-013</t>
        </is>
      </c>
      <c r="B16" s="10" t="inlineStr">
        <is>
          <t>AC2</t>
        </is>
      </c>
      <c r="C16" s="10" t="inlineStr">
        <is>
          <t>Positif</t>
        </is>
      </c>
      <c r="D16" s="10" t="inlineStr">
        <is>
          <t>Ajouter et supprimer une ligne</t>
        </is>
      </c>
      <c r="E16" s="10" t="inlineStr">
        <is>
          <t>Candidat</t>
        </is>
      </c>
      <c r="F16" s="10" t="inlineStr">
        <is>
          <t>Idem TC-001.</t>
        </is>
      </c>
      <c r="G16" s="10" t="inlineStr">
        <is>
          <t>1. Cliquer sur « Ajouter une ligne ».
2. Supprimer une ligne avec l'icône corbeille.</t>
        </is>
      </c>
      <c r="H16" s="10" t="inlineStr">
        <is>
          <t>La ligne est ajoutée en bas puis supprimée ; totaux et pourcentages recalculés. Il reste toujours au moins une ligne à remplir.</t>
        </is>
      </c>
      <c r="I16" s="10" t="inlineStr">
        <is>
          <t>Moyenne</t>
        </is>
      </c>
      <c r="J16" s="10" t="n"/>
      <c r="K16" s="11" t="n"/>
      <c r="L16" s="10" t="inlineStr">
        <is>
          <t>Non exécuté</t>
        </is>
      </c>
      <c r="M16" s="10" t="n"/>
      <c r="N16" s="10" t="n"/>
    </row>
    <row r="17">
      <c r="A17" s="10" t="inlineStr">
        <is>
          <t>TC-014</t>
        </is>
      </c>
      <c r="B17" s="10" t="inlineStr">
        <is>
          <t>AC2</t>
        </is>
      </c>
      <c r="C17" s="10" t="inlineStr">
        <is>
          <t>Limite</t>
        </is>
      </c>
      <c r="D17" s="10" t="inlineStr">
        <is>
          <t>Montants décimaux et grands montants</t>
        </is>
      </c>
      <c r="E17" s="10" t="inlineStr">
        <is>
          <t>Candidat</t>
        </is>
      </c>
      <c r="F17" s="10" t="inlineStr">
        <is>
          <t>Idem TC-001.</t>
        </is>
      </c>
      <c r="G17" s="10" t="inlineStr">
        <is>
          <t>1. Saisir 1 234 567,89 dans une année.</t>
        </is>
      </c>
      <c r="H17" s="10" t="inlineStr">
        <is>
          <t>Le montant est accepté et affiché en euros avec deux décimales ; les totaux restent exacts.</t>
        </is>
      </c>
      <c r="I17" s="10" t="inlineStr">
        <is>
          <t>Moyenne</t>
        </is>
      </c>
      <c r="J17" s="10" t="n"/>
      <c r="K17" s="11" t="n"/>
      <c r="L17" s="10" t="inlineStr">
        <is>
          <t>Non exécuté</t>
        </is>
      </c>
      <c r="M17" s="10" t="n"/>
      <c r="N17" s="10" t="n"/>
    </row>
    <row r="18">
      <c r="A18" s="10" t="inlineStr">
        <is>
          <t>TC-015</t>
        </is>
      </c>
      <c r="B18" s="10" t="inlineStr">
        <is>
          <t>AC2</t>
        </is>
      </c>
      <c r="C18" s="10" t="inlineStr">
        <is>
          <t>Positif</t>
        </is>
      </c>
      <c r="D18" s="10" t="inlineStr">
        <is>
          <t>Aucune ligne « Total » en pied de tableau</t>
        </is>
      </c>
      <c r="E18" s="10" t="inlineStr">
        <is>
          <t>Candidat</t>
        </is>
      </c>
      <c r="F18" s="10" t="inlineStr">
        <is>
          <t>Idem TC-001.</t>
        </is>
      </c>
      <c r="G18" s="10" t="inlineStr">
        <is>
          <t>1. Remplir un tableau Budget.</t>
        </is>
      </c>
      <c r="H18" s="10" t="inlineStr">
        <is>
          <t>Seule la colonne Total (€) par ligne est affichée ; pas de ligne de total en bas du tableau.</t>
        </is>
      </c>
      <c r="I18" s="10" t="inlineStr">
        <is>
          <t>Basse</t>
        </is>
      </c>
      <c r="J18" s="10" t="n"/>
      <c r="K18" s="11" t="n"/>
      <c r="L18" s="10" t="inlineStr">
        <is>
          <t>Non exécuté</t>
        </is>
      </c>
      <c r="M18" s="10" t="n"/>
      <c r="N18" s="10" t="n"/>
    </row>
    <row r="19">
      <c r="A19" s="8" t="inlineStr">
        <is>
          <t>AC3 — Contrôles à la soumission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10" t="inlineStr">
        <is>
          <t>TC-016</t>
        </is>
      </c>
      <c r="B20" s="10" t="inlineStr">
        <is>
          <t>AC3</t>
        </is>
      </c>
      <c r="C20" s="10" t="inlineStr">
        <is>
          <t>Négatif</t>
        </is>
      </c>
      <c r="D20" s="10" t="inlineStr">
        <is>
          <t>Tableau obligatoire vide bloque la soumission</t>
        </is>
      </c>
      <c r="E20" s="10" t="inlineStr">
        <is>
          <t>Candidat</t>
        </is>
      </c>
      <c r="F20" s="10" t="inlineStr">
        <is>
          <t>Idem TC-001 ; toutes les autres questions remplies.</t>
        </is>
      </c>
      <c r="G20" s="10" t="inlineStr">
        <is>
          <t>1. Laisser « Budget total » vide.
2. Soumettre.</t>
        </is>
      </c>
      <c r="H20" s="10" t="inlineStr">
        <is>
          <t>Soumission refusée ; message « … est obligatoire » sur le tableau ; rien n'est soumis.</t>
        </is>
      </c>
      <c r="I20" s="10" t="inlineStr">
        <is>
          <t>Haute</t>
        </is>
      </c>
      <c r="J20" s="10" t="n"/>
      <c r="K20" s="11" t="n"/>
      <c r="L20" s="10" t="inlineStr">
        <is>
          <t>Non exécuté</t>
        </is>
      </c>
      <c r="M20" s="10" t="n"/>
      <c r="N20" s="10" t="n"/>
    </row>
    <row r="21">
      <c r="A21" s="10" t="inlineStr">
        <is>
          <t>TC-017</t>
        </is>
      </c>
      <c r="B21" s="10" t="inlineStr">
        <is>
          <t>AC3</t>
        </is>
      </c>
      <c r="C21" s="10" t="inlineStr">
        <is>
          <t>Négatif</t>
        </is>
      </c>
      <c r="D21" s="10" t="inlineStr">
        <is>
          <t>Ligne Budget sans montant</t>
        </is>
      </c>
      <c r="E21" s="10" t="inlineStr">
        <is>
          <t>Candidat</t>
        </is>
      </c>
      <c r="F21" s="10" t="inlineStr">
        <is>
          <t>Idem TC-016.</t>
        </is>
      </c>
      <c r="G21" s="10" t="inlineStr">
        <is>
          <t>1. Saisir un poste sans aucun montant d'année.
2. Soumettre.</t>
        </is>
      </c>
      <c r="H21" s="10" t="inlineStr">
        <is>
          <t>Soumission refusée : une ligne Budget doit avoir un poste et un montant.</t>
        </is>
      </c>
      <c r="I21" s="10" t="inlineStr">
        <is>
          <t>Haute</t>
        </is>
      </c>
      <c r="J21" s="10" t="n"/>
      <c r="K21" s="11" t="n"/>
      <c r="L21" s="10" t="inlineStr">
        <is>
          <t>Non exécuté</t>
        </is>
      </c>
      <c r="M21" s="10" t="n"/>
      <c r="N21" s="10" t="n"/>
    </row>
    <row r="22">
      <c r="A22" s="10" t="inlineStr">
        <is>
          <t>TC-018</t>
        </is>
      </c>
      <c r="B22" s="10" t="inlineStr">
        <is>
          <t>AC3</t>
        </is>
      </c>
      <c r="C22" s="10" t="inlineStr">
        <is>
          <t>Négatif</t>
        </is>
      </c>
      <c r="D22" s="10" t="inlineStr">
        <is>
          <t>Montant sans poste</t>
        </is>
      </c>
      <c r="E22" s="10" t="inlineStr">
        <is>
          <t>Candidat</t>
        </is>
      </c>
      <c r="F22" s="10" t="inlineStr">
        <is>
          <t>Idem TC-016.</t>
        </is>
      </c>
      <c r="G22" s="10" t="inlineStr">
        <is>
          <t>1. Saisir un montant sans nom de poste.
2. Soumettre.</t>
        </is>
      </c>
      <c r="H22" s="10" t="inlineStr">
        <is>
          <t>Soumission refusée : le poste est obligatoire.</t>
        </is>
      </c>
      <c r="I22" s="10" t="inlineStr">
        <is>
          <t>Haute</t>
        </is>
      </c>
      <c r="J22" s="10" t="n"/>
      <c r="K22" s="11" t="n"/>
      <c r="L22" s="10" t="inlineStr">
        <is>
          <t>Non exécuté</t>
        </is>
      </c>
      <c r="M22" s="10" t="n"/>
      <c r="N22" s="10" t="n"/>
    </row>
    <row r="23">
      <c r="A23" s="10" t="inlineStr">
        <is>
          <t>TC-019</t>
        </is>
      </c>
      <c r="B23" s="10" t="inlineStr">
        <is>
          <t>AC3</t>
        </is>
      </c>
      <c r="C23" s="10" t="inlineStr">
        <is>
          <t>Positif</t>
        </is>
      </c>
      <c r="D23" s="10" t="inlineStr">
        <is>
          <t>Tableau Contreparties facultatif</t>
        </is>
      </c>
      <c r="E23" s="10" t="inlineStr">
        <is>
          <t>Candidat</t>
        </is>
      </c>
      <c r="F23" s="10" t="inlineStr">
        <is>
          <t>Idem TC-016 ; tableaux obligatoires remplis.</t>
        </is>
      </c>
      <c r="G23" s="10" t="inlineStr">
        <is>
          <t>1. Laisser « Contreparties » vide.
2. Soumettre.</t>
        </is>
      </c>
      <c r="H23" s="10" t="inlineStr">
        <is>
          <t>La soumission aboutit.</t>
        </is>
      </c>
      <c r="I23" s="10" t="inlineStr">
        <is>
          <t>Haute</t>
        </is>
      </c>
      <c r="J23" s="10" t="n"/>
      <c r="K23" s="11" t="n"/>
      <c r="L23" s="10" t="inlineStr">
        <is>
          <t>Non exécuté</t>
        </is>
      </c>
      <c r="M23" s="10" t="n"/>
      <c r="N23" s="10" t="n"/>
    </row>
    <row r="24">
      <c r="A24" s="10" t="inlineStr">
        <is>
          <t>TC-020</t>
        </is>
      </c>
      <c r="B24" s="10" t="inlineStr">
        <is>
          <t>AC3</t>
        </is>
      </c>
      <c r="C24" s="10" t="inlineStr">
        <is>
          <t>Négatif</t>
        </is>
      </c>
      <c r="D24" s="10" t="inlineStr">
        <is>
          <t>Valeur invalide dans un montant</t>
        </is>
      </c>
      <c r="E24" s="10" t="inlineStr">
        <is>
          <t>Candidat</t>
        </is>
      </c>
      <c r="F24" s="10" t="inlineStr">
        <is>
          <t>Idem TC-001.</t>
        </is>
      </c>
      <c r="G24" s="10" t="inlineStr">
        <is>
          <t>1. Saisir du texte ou une valeur négative dans une année.
2. Enregistrer.</t>
        </is>
      </c>
      <c r="H24" s="10" t="inlineStr">
        <is>
          <t>La saisie est refusée avec un message de validation.</t>
        </is>
      </c>
      <c r="I24" s="10" t="inlineStr">
        <is>
          <t>Moyenne</t>
        </is>
      </c>
      <c r="J24" s="10" t="n"/>
      <c r="K24" s="11" t="n"/>
      <c r="L24" s="10" t="inlineStr">
        <is>
          <t>Non exécuté</t>
        </is>
      </c>
      <c r="M24" s="10" t="n"/>
      <c r="N24" s="10" t="n"/>
    </row>
    <row r="25">
      <c r="A25" s="10" t="inlineStr">
        <is>
          <t>TC-021</t>
        </is>
      </c>
      <c r="B25" s="10" t="inlineStr">
        <is>
          <t>AC3</t>
        </is>
      </c>
      <c r="C25" s="10" t="inlineStr">
        <is>
          <t>Limite</t>
        </is>
      </c>
      <c r="D25" s="10" t="inlineStr">
        <is>
          <t>Date de fin de contrepartie antérieure à la date de début</t>
        </is>
      </c>
      <c r="E25" s="10" t="inlineStr">
        <is>
          <t>Candidat</t>
        </is>
      </c>
      <c r="F25" s="10" t="inlineStr">
        <is>
          <t>Idem TC-001.</t>
        </is>
      </c>
      <c r="G25" s="10" t="inlineStr">
        <is>
          <t>1. Contrepartie : Valide du 01/06/2027, Valide jusqu'au 01/01/2027.
2. Enregistrer.</t>
        </is>
      </c>
      <c r="H25" s="10" t="inlineStr">
        <is>
          <t>Comportement à CONFIRMER avec le métier (refus attendu).</t>
        </is>
      </c>
      <c r="I25" s="10" t="inlineStr">
        <is>
          <t>Basse</t>
        </is>
      </c>
      <c r="J25" s="10" t="n"/>
      <c r="K25" s="11" t="n"/>
      <c r="L25" s="10" t="inlineStr">
        <is>
          <t>Non exécuté</t>
        </is>
      </c>
      <c r="M25" s="10" t="n"/>
      <c r="N25" s="10" t="n"/>
    </row>
    <row r="26">
      <c r="A26" s="8" t="inlineStr">
        <is>
          <t>AC4 — Enregistrement dans le CRM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10" t="inlineStr">
        <is>
          <t>TC-022</t>
        </is>
      </c>
      <c r="B27" s="10" t="inlineStr">
        <is>
          <t>AC4</t>
        </is>
      </c>
      <c r="C27" s="10" t="inlineStr">
        <is>
          <t>Positif</t>
        </is>
      </c>
      <c r="D27" s="10" t="inlineStr">
        <is>
          <t>Brouillon : création du Budget et de ses lignes</t>
        </is>
      </c>
      <c r="E27" s="10" t="inlineStr">
        <is>
          <t>Système</t>
        </is>
      </c>
      <c r="F27" s="10" t="inlineStr">
        <is>
          <t>Le candidat a rempli « Budget total » : 2 postes, Années 1 et 2.</t>
        </is>
      </c>
      <c r="G27" s="10" t="inlineStr">
        <is>
          <t>1. Cliquer sur « Enregistrer le brouillon ».
2. Consulter le projet (ApplicationForm) dans le CRM.</t>
        </is>
      </c>
      <c r="H27" s="10" t="inlineStr">
        <is>
          <t>1 Budget « Total project budget per year (in euros) », Project__c = le projet, Amount = total du tableau ; 1 BudgetCategory par poste (SequenceNumber = rang) ; 1 BudgetCategoryValue par année renseignée, liée à la période « Year N ».</t>
        </is>
      </c>
      <c r="I27" s="10" t="inlineStr">
        <is>
          <t>Haute</t>
        </is>
      </c>
      <c r="J27" s="10" t="n"/>
      <c r="K27" s="11" t="n"/>
      <c r="L27" s="10" t="inlineStr">
        <is>
          <t>Non exécuté</t>
        </is>
      </c>
      <c r="M27" s="10" t="n"/>
      <c r="N27" s="10" t="n"/>
    </row>
    <row r="28">
      <c r="A28" s="10" t="inlineStr">
        <is>
          <t>TC-023</t>
        </is>
      </c>
      <c r="B28" s="10" t="inlineStr">
        <is>
          <t>AC4</t>
        </is>
      </c>
      <c r="C28" s="10" t="inlineStr">
        <is>
          <t>Positif</t>
        </is>
      </c>
      <c r="D28" s="10" t="inlineStr">
        <is>
          <t>Périodes Year 1 … Year N</t>
        </is>
      </c>
      <c r="E28" s="10" t="inlineStr">
        <is>
          <t>Système</t>
        </is>
      </c>
      <c r="F28" s="10" t="inlineStr">
        <is>
          <t>Idem TC-022.</t>
        </is>
      </c>
      <c r="G28" s="10" t="inlineStr">
        <is>
          <t>1. Consulter les BudgetPeriod.</t>
        </is>
      </c>
      <c r="H28" s="10" t="inlineStr">
        <is>
          <t>Périodes « Year 1 », « Year 2 »… avec SequenceNumber = N, créées une seule fois et réutilisées.</t>
        </is>
      </c>
      <c r="I28" s="10" t="inlineStr">
        <is>
          <t>Moyenne</t>
        </is>
      </c>
      <c r="J28" s="10" t="n"/>
      <c r="K28" s="11" t="n"/>
      <c r="L28" s="10" t="inlineStr">
        <is>
          <t>Non exécuté</t>
        </is>
      </c>
      <c r="M28" s="10" t="n"/>
      <c r="N28" s="10" t="n"/>
    </row>
    <row r="29">
      <c r="A29" s="10" t="inlineStr">
        <is>
          <t>TC-024</t>
        </is>
      </c>
      <c r="B29" s="10" t="inlineStr">
        <is>
          <t>AC4</t>
        </is>
      </c>
      <c r="C29" s="10" t="inlineStr">
        <is>
          <t>Positif</t>
        </is>
      </c>
      <c r="D29" s="10" t="inlineStr">
        <is>
          <t>Statut et type de financement enregistrés</t>
        </is>
      </c>
      <c r="E29" s="10" t="inlineStr">
        <is>
          <t>Système</t>
        </is>
      </c>
      <c r="F29" s="10" t="inlineStr">
        <is>
          <t>« Partenaires financiers » rempli avec Sécurisé / Public.</t>
        </is>
      </c>
      <c r="G29" s="10" t="inlineStr">
        <is>
          <t>1. Enregistrer.
2. Consulter les BudgetCategoryValue du poste.</t>
        </is>
      </c>
      <c r="H29" s="10" t="inlineStr">
        <is>
          <t>Une valeur sans période porte FundingStatus__c et FundingType__c ; les montants sont sur les valeurs par année.</t>
        </is>
      </c>
      <c r="I29" s="10" t="inlineStr">
        <is>
          <t>Haute</t>
        </is>
      </c>
      <c r="J29" s="10" t="n"/>
      <c r="K29" s="11" t="n"/>
      <c r="L29" s="10" t="inlineStr">
        <is>
          <t>Non exécuté</t>
        </is>
      </c>
      <c r="M29" s="10" t="n"/>
      <c r="N29" s="10" t="n"/>
    </row>
    <row r="30">
      <c r="A30" s="10" t="inlineStr">
        <is>
          <t>TC-025</t>
        </is>
      </c>
      <c r="B30" s="10" t="inlineStr">
        <is>
          <t>AC4</t>
        </is>
      </c>
      <c r="C30" s="10" t="inlineStr">
        <is>
          <t>Positif</t>
        </is>
      </c>
      <c r="D30" s="10" t="inlineStr">
        <is>
          <t>Montant demandé reporté sur le projet</t>
        </is>
      </c>
      <c r="E30" s="10" t="inlineStr">
        <is>
          <t>Système</t>
        </is>
      </c>
      <c r="F30" s="10" t="inlineStr">
        <is>
          <t>« Budget demandé » rempli (total 50 000).</t>
        </is>
      </c>
      <c r="G30" s="10" t="inlineStr">
        <is>
          <t>1. Enregistrer.
2. Consulter ApplicationForm.RequestedAmount.</t>
        </is>
      </c>
      <c r="H30" s="10" t="inlineStr">
        <is>
          <t>RequestedAmount = 50 000.</t>
        </is>
      </c>
      <c r="I30" s="10" t="inlineStr">
        <is>
          <t>Haute</t>
        </is>
      </c>
      <c r="J30" s="10" t="n"/>
      <c r="K30" s="11" t="n"/>
      <c r="L30" s="10" t="inlineStr">
        <is>
          <t>Non exécuté</t>
        </is>
      </c>
      <c r="M30" s="10" t="n"/>
      <c r="N30" s="10" t="n"/>
    </row>
    <row r="31">
      <c r="A31" s="10" t="inlineStr">
        <is>
          <t>TC-026</t>
        </is>
      </c>
      <c r="B31" s="10" t="inlineStr">
        <is>
          <t>AC4</t>
        </is>
      </c>
      <c r="C31" s="10" t="inlineStr">
        <is>
          <t>Positif</t>
        </is>
      </c>
      <c r="D31" s="10" t="inlineStr">
        <is>
          <t>Contreparties enregistrées en Benefit</t>
        </is>
      </c>
      <c r="E31" s="10" t="inlineStr">
        <is>
          <t>Système</t>
        </is>
      </c>
      <c r="F31" s="10" t="inlineStr">
        <is>
          <t>« Contreparties » rempli (1 ligne complète).</t>
        </is>
      </c>
      <c r="G31" s="10" t="inlineStr">
        <is>
          <t>1. Enregistrer.
2. Consulter les Benefit du projet.</t>
        </is>
      </c>
      <c r="H31" s="10" t="inlineStr">
        <is>
          <t>1 Benefit : Name, MaxBenefitAmount, ValidFrom__c, ValidUntil__c, Type__c, Description, Project__c, type « AXA Foundation Counterpart », Program = pilier du programme.</t>
        </is>
      </c>
      <c r="I31" s="10" t="inlineStr">
        <is>
          <t>Haute</t>
        </is>
      </c>
      <c r="J31" s="10" t="n"/>
      <c r="K31" s="11" t="n"/>
      <c r="L31" s="10" t="inlineStr">
        <is>
          <t>Non exécuté</t>
        </is>
      </c>
      <c r="M31" s="10" t="n"/>
      <c r="N31" s="10" t="n"/>
    </row>
    <row r="32">
      <c r="A32" s="10" t="inlineStr">
        <is>
          <t>TC-027</t>
        </is>
      </c>
      <c r="B32" s="10" t="inlineStr">
        <is>
          <t>AC4</t>
        </is>
      </c>
      <c r="C32" s="10" t="inlineStr">
        <is>
          <t>Positif</t>
        </is>
      </c>
      <c r="D32" s="10" t="inlineStr">
        <is>
          <t>Modification puis réenregistrement sans doublon</t>
        </is>
      </c>
      <c r="E32" s="10" t="inlineStr">
        <is>
          <t>Candidat</t>
        </is>
      </c>
      <c r="F32" s="10" t="inlineStr">
        <is>
          <t>Brouillon déjà enregistré.</t>
        </is>
      </c>
      <c r="G32" s="10" t="inlineStr">
        <is>
          <t>1. Modifier un montant, supprimer une ligne, en ajouter une.
2. Enregistrer.</t>
        </is>
      </c>
      <c r="H32" s="10" t="inlineStr">
        <is>
          <t>Les lignes reflètent exactement le tableau ; aucune ligne en double ni orpheline ; Amount et RequestedAmount mis à jour.</t>
        </is>
      </c>
      <c r="I32" s="10" t="inlineStr">
        <is>
          <t>Haute</t>
        </is>
      </c>
      <c r="J32" s="10" t="n"/>
      <c r="K32" s="11" t="n"/>
      <c r="L32" s="10" t="inlineStr">
        <is>
          <t>Non exécuté</t>
        </is>
      </c>
      <c r="M32" s="10" t="n"/>
      <c r="N32" s="10" t="n"/>
    </row>
    <row r="33">
      <c r="A33" s="10" t="inlineStr">
        <is>
          <t>TC-028</t>
        </is>
      </c>
      <c r="B33" s="10" t="inlineStr">
        <is>
          <t>AC4</t>
        </is>
      </c>
      <c r="C33" s="10" t="inlineStr">
        <is>
          <t>Positif</t>
        </is>
      </c>
      <c r="D33" s="10" t="inlineStr">
        <is>
          <t>Rechargement du brouillon</t>
        </is>
      </c>
      <c r="E33" s="10" t="inlineStr">
        <is>
          <t>Candidat</t>
        </is>
      </c>
      <c r="F33" s="10" t="inlineStr">
        <is>
          <t>Brouillon enregistré.</t>
        </is>
      </c>
      <c r="G33" s="10" t="inlineStr">
        <is>
          <t>1. Fermer puis rouvrir le formulaire.</t>
        </is>
      </c>
      <c r="H33" s="10" t="inlineStr">
        <is>
          <t>Lignes, montants, listes de choix et contreparties réaffichés à l'identique.</t>
        </is>
      </c>
      <c r="I33" s="10" t="inlineStr">
        <is>
          <t>Haute</t>
        </is>
      </c>
      <c r="J33" s="10" t="n"/>
      <c r="K33" s="11" t="n"/>
      <c r="L33" s="10" t="inlineStr">
        <is>
          <t>Non exécuté</t>
        </is>
      </c>
      <c r="M33" s="10" t="n"/>
      <c r="N33" s="10" t="n"/>
    </row>
    <row r="34">
      <c r="A34" s="10" t="inlineStr">
        <is>
          <t>TC-029</t>
        </is>
      </c>
      <c r="B34" s="10" t="inlineStr">
        <is>
          <t>AC4</t>
        </is>
      </c>
      <c r="C34" s="10" t="inlineStr">
        <is>
          <t>Positif</t>
        </is>
      </c>
      <c r="D34" s="10" t="inlineStr">
        <is>
          <t>La soumission enregistre le budget</t>
        </is>
      </c>
      <c r="E34" s="10" t="inlineStr">
        <is>
          <t>Candidat</t>
        </is>
      </c>
      <c r="F34" s="10" t="inlineStr">
        <is>
          <t>Formulaire complet rempli.</t>
        </is>
      </c>
      <c r="G34" s="10" t="inlineStr">
        <is>
          <t>1. Soumettre.</t>
        </is>
      </c>
      <c r="H34" s="10" t="inlineStr">
        <is>
          <t>Le budget est enregistré puis le formulaire soumis ; le formulaire passe en lecture seule.</t>
        </is>
      </c>
      <c r="I34" s="10" t="inlineStr">
        <is>
          <t>Haute</t>
        </is>
      </c>
      <c r="J34" s="10" t="n"/>
      <c r="K34" s="11" t="n"/>
      <c r="L34" s="10" t="inlineStr">
        <is>
          <t>Non exécuté</t>
        </is>
      </c>
      <c r="M34" s="10" t="n"/>
      <c r="N34" s="10" t="n"/>
    </row>
    <row r="35">
      <c r="A35" s="10" t="inlineStr">
        <is>
          <t>TC-030</t>
        </is>
      </c>
      <c r="B35" s="10" t="inlineStr">
        <is>
          <t>AC4</t>
        </is>
      </c>
      <c r="C35" s="10" t="inlineStr">
        <is>
          <t>Négatif</t>
        </is>
      </c>
      <c r="D35" s="10" t="inlineStr">
        <is>
          <t>Formulaire soumis non modifiable</t>
        </is>
      </c>
      <c r="E35" s="10" t="inlineStr">
        <is>
          <t>Candidat</t>
        </is>
      </c>
      <c r="F35" s="10" t="inlineStr">
        <is>
          <t>Formulaire soumis.</t>
        </is>
      </c>
      <c r="G35" s="10" t="inlineStr">
        <is>
          <t>1. Rouvrir le formulaire.</t>
        </is>
      </c>
      <c r="H35" s="10" t="inlineStr">
        <is>
          <t>Tableaux en lecture seule : pas de saisie, pas d'« Ajouter une ligne », pas de corbeille.</t>
        </is>
      </c>
      <c r="I35" s="10" t="inlineStr">
        <is>
          <t>Haute</t>
        </is>
      </c>
      <c r="J35" s="10" t="n"/>
      <c r="K35" s="11" t="n"/>
      <c r="L35" s="10" t="inlineStr">
        <is>
          <t>Non exécuté</t>
        </is>
      </c>
      <c r="M35" s="10" t="n"/>
      <c r="N35" s="10" t="n"/>
    </row>
    <row r="36">
      <c r="A36" s="8" t="inlineStr">
        <is>
          <t>AC5 — Clonage sur un nouveau programme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10" t="inlineStr">
        <is>
          <t>TC-031</t>
        </is>
      </c>
      <c r="B37" s="10" t="inlineStr">
        <is>
          <t>AC5</t>
        </is>
      </c>
      <c r="C37" s="10" t="inlineStr">
        <is>
          <t>Positif</t>
        </is>
      </c>
      <c r="D37" s="10" t="inlineStr">
        <is>
          <t>Un nouveau programme reçoit les tableaux configurés</t>
        </is>
      </c>
      <c r="E37" s="10" t="inlineStr">
        <is>
          <t>Administrateur</t>
        </is>
      </c>
      <c r="F37" s="10" t="inlineStr">
        <is>
          <t>Socle commun configuré.</t>
        </is>
      </c>
      <c r="G37" s="10" t="inlineStr">
        <is>
          <t>1. Créer un programme.
2. Ouvrir son formulaire en candidat.</t>
        </is>
      </c>
      <c r="H37" s="10" t="inlineStr">
        <is>
          <t>Les 4 tableaux sont présents avec leurs colonnes d'année (5, 5, 3), totaux, pourcentages et listes.</t>
        </is>
      </c>
      <c r="I37" s="10" t="inlineStr">
        <is>
          <t>Haute</t>
        </is>
      </c>
      <c r="J37" s="10" t="n"/>
      <c r="K37" s="11" t="n"/>
      <c r="L37" s="10" t="inlineStr">
        <is>
          <t>Non exécuté</t>
        </is>
      </c>
      <c r="M37" s="10" t="n"/>
      <c r="N37" s="10" t="n"/>
    </row>
    <row r="38">
      <c r="A38" s="10" t="inlineStr">
        <is>
          <t>TC-032</t>
        </is>
      </c>
      <c r="B38" s="10" t="inlineStr">
        <is>
          <t>AC5</t>
        </is>
      </c>
      <c r="C38" s="10" t="inlineStr">
        <is>
          <t>Négatif</t>
        </is>
      </c>
      <c r="D38" s="10" t="inlineStr">
        <is>
          <t>Plus d'anciennes questions budget</t>
        </is>
      </c>
      <c r="E38" s="10" t="inlineStr">
        <is>
          <t>Administrateur</t>
        </is>
      </c>
      <c r="F38" s="10" t="inlineStr">
        <is>
          <t>Idem TC-031.</t>
        </is>
      </c>
      <c r="G38" s="10" t="inlineStr">
        <is>
          <t>1. Consulter les questions du nouveau programme.</t>
        </is>
      </c>
      <c r="H38" s="10" t="inlineStr">
        <is>
          <t>Aucune question Fixed « Total project budget (in euros) » ou « Budget requested », ni question colonne BudgetCategory / BudgetCategoryValue.</t>
        </is>
      </c>
      <c r="I38" s="10" t="inlineStr">
        <is>
          <t>Moyenne</t>
        </is>
      </c>
      <c r="J38" s="10" t="n"/>
      <c r="K38" s="11" t="n"/>
      <c r="L38" s="10" t="inlineStr">
        <is>
          <t>Non exécuté</t>
        </is>
      </c>
      <c r="M38" s="10" t="n"/>
      <c r="N38" s="10" t="n"/>
    </row>
    <row r="39">
      <c r="A39" s="8" t="inlineStr">
        <is>
          <t>AC6 — Page d'enregistrement Budget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10" t="inlineStr">
        <is>
          <t>TC-033</t>
        </is>
      </c>
      <c r="B40" s="10" t="inlineStr">
        <is>
          <t>AC6</t>
        </is>
      </c>
      <c r="C40" s="10" t="inlineStr">
        <is>
          <t>Positif</t>
        </is>
      </c>
      <c r="D40" s="10" t="inlineStr">
        <is>
          <t>Tableau affiché en lecture seule sur le Budget</t>
        </is>
      </c>
      <c r="E40" s="10" t="inlineStr">
        <is>
          <t>Gestionnaire</t>
        </is>
      </c>
      <c r="F40" s="10" t="inlineStr">
        <is>
          <t>Composant « Budget Table » ajouté à la page Budget ; Budget enregistré par un candidat.</t>
        </is>
      </c>
      <c r="G40" s="10" t="inlineStr">
        <is>
          <t>1. Ouvrir le Budget dans le CRM.</t>
        </is>
      </c>
      <c r="H40" s="10" t="inlineStr">
        <is>
          <t>Le tableau s'affiche avec les mêmes colonnes et valeurs que le formulaire, en lecture seule.</t>
        </is>
      </c>
      <c r="I40" s="10" t="inlineStr">
        <is>
          <t>Moyenne</t>
        </is>
      </c>
      <c r="J40" s="10" t="n"/>
      <c r="K40" s="11" t="n"/>
      <c r="L40" s="10" t="inlineStr">
        <is>
          <t>Non exécuté</t>
        </is>
      </c>
      <c r="M40" s="10" t="n"/>
      <c r="N40" s="10" t="n"/>
    </row>
    <row r="41">
      <c r="A41" s="10" t="inlineStr">
        <is>
          <t>TC-034</t>
        </is>
      </c>
      <c r="B41" s="10" t="inlineStr">
        <is>
          <t>AC6</t>
        </is>
      </c>
      <c r="C41" s="10" t="inlineStr">
        <is>
          <t>Limite</t>
        </is>
      </c>
      <c r="D41" s="10" t="inlineStr">
        <is>
          <t>Budget sans question correspondante</t>
        </is>
      </c>
      <c r="E41" s="10" t="inlineStr">
        <is>
          <t>Gestionnaire</t>
        </is>
      </c>
      <c r="F41" s="10" t="inlineStr">
        <is>
          <t>Budget créé à la main, nom ne correspondant à aucune question.</t>
        </is>
      </c>
      <c r="G41" s="10" t="inlineStr">
        <is>
          <t>1. Ouvrir le Budget.</t>
        </is>
      </c>
      <c r="H41" s="10" t="inlineStr">
        <is>
          <t>Message « Aucun tableau n'est configuré pour ce budget. »</t>
        </is>
      </c>
      <c r="I41" s="10" t="inlineStr">
        <is>
          <t>Basse</t>
        </is>
      </c>
      <c r="J41" s="10" t="n"/>
      <c r="K41" s="11" t="n"/>
      <c r="L41" s="10" t="inlineStr">
        <is>
          <t>Non exécuté</t>
        </is>
      </c>
      <c r="M41" s="10" t="n"/>
      <c r="N41" s="10" t="n"/>
    </row>
    <row r="42">
      <c r="A42" s="8" t="inlineStr">
        <is>
          <t>Transverse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10" t="inlineStr">
        <is>
          <t>TC-035</t>
        </is>
      </c>
      <c r="B43" s="10" t="inlineStr">
        <is>
          <t>Transverse</t>
        </is>
      </c>
      <c r="C43" s="10" t="inlineStr">
        <is>
          <t>Négatif</t>
        </is>
      </c>
      <c r="D43" s="10" t="inlineStr">
        <is>
          <t>Un candidat ne voit pas le budget d'un autre projet</t>
        </is>
      </c>
      <c r="E43" s="10" t="inlineStr">
        <is>
          <t>Candidat</t>
        </is>
      </c>
      <c r="F43" s="10" t="inlineStr">
        <is>
          <t>Deux candidats d'organisations différentes ayant chacun un budget.</t>
        </is>
      </c>
      <c r="G43" s="10" t="inlineStr">
        <is>
          <t>1. Ouvrir son formulaire.
2. Vérifier les données affichées.</t>
        </is>
      </c>
      <c r="H43" s="10" t="inlineStr">
        <is>
          <t>Seul le budget de son propre projet est visible et modifiable.</t>
        </is>
      </c>
      <c r="I43" s="10" t="inlineStr">
        <is>
          <t>Haute</t>
        </is>
      </c>
      <c r="J43" s="10" t="n"/>
      <c r="K43" s="11" t="n"/>
      <c r="L43" s="10" t="inlineStr">
        <is>
          <t>Non exécuté</t>
        </is>
      </c>
      <c r="M43" s="10" t="n"/>
      <c r="N43" s="10" t="n"/>
    </row>
    <row r="44">
      <c r="A44" s="10" t="inlineStr">
        <is>
          <t>TC-036</t>
        </is>
      </c>
      <c r="B44" s="10" t="inlineStr">
        <is>
          <t>Transverse</t>
        </is>
      </c>
      <c r="C44" s="10" t="inlineStr">
        <is>
          <t>Positif</t>
        </is>
      </c>
      <c r="D44" s="10" t="inlineStr">
        <is>
          <t>Libellés bilingues</t>
        </is>
      </c>
      <c r="E44" s="10" t="inlineStr">
        <is>
          <t>Candidat</t>
        </is>
      </c>
      <c r="F44" s="10" t="inlineStr">
        <is>
          <t>Site Experience Cloud ; utilisateur FR puis EN.</t>
        </is>
      </c>
      <c r="G44" s="10" t="inlineStr">
        <is>
          <t>1. Ouvrir le formulaire.</t>
        </is>
      </c>
      <c r="H44" s="10" t="inlineStr">
        <is>
          <t>Titres, colonnes, boutons et messages dans la langue attendue ; messages citant la Fondation AXA traduits (Custom Labels).</t>
        </is>
      </c>
      <c r="I44" s="10" t="inlineStr">
        <is>
          <t>Basse</t>
        </is>
      </c>
      <c r="J44" s="10" t="n"/>
      <c r="K44" s="11" t="n"/>
      <c r="L44" s="10" t="inlineStr">
        <is>
          <t>Non exécuté</t>
        </is>
      </c>
      <c r="M44" s="10" t="n"/>
      <c r="N44" s="10" t="n"/>
    </row>
    <row r="45">
      <c r="A45" s="10" t="inlineStr">
        <is>
          <t>TC-037</t>
        </is>
      </c>
      <c r="B45" s="10" t="inlineStr">
        <is>
          <t>Transverse</t>
        </is>
      </c>
      <c r="C45" s="10" t="inlineStr">
        <is>
          <t>Positif</t>
        </is>
      </c>
      <c r="D45" s="10" t="inlineStr">
        <is>
          <t>Affichage sur écran étroit</t>
        </is>
      </c>
      <c r="E45" s="10" t="inlineStr">
        <is>
          <t>Candidat</t>
        </is>
      </c>
      <c r="F45" s="10" t="inlineStr">
        <is>
          <t>Navigateur réduit ou tablette.</t>
        </is>
      </c>
      <c r="G45" s="10" t="inlineStr">
        <is>
          <t>1. Ouvrir la section budget.</t>
        </is>
      </c>
      <c r="H45" s="10" t="inlineStr">
        <is>
          <t>Le tableau défile horizontalement dans son cadre ; la page ne déborde pas ; le calendrier des dates s'affiche correctement.</t>
        </is>
      </c>
      <c r="I45" s="10" t="inlineStr">
        <is>
          <t>Basse</t>
        </is>
      </c>
      <c r="J45" s="10" t="n"/>
      <c r="K45" s="11" t="n"/>
      <c r="L45" s="10" t="inlineStr">
        <is>
          <t>Non exécuté</t>
        </is>
      </c>
      <c r="M45" s="10" t="n"/>
      <c r="N45" s="10" t="n"/>
    </row>
  </sheetData>
  <autoFilter ref="A1:N45"/>
  <conditionalFormatting sqref="L2:L4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L2:L45" showDropDown="0" showInputMessage="0" showErrorMessage="0" allowBlank="1" type="list">
      <formula1>"Non exécuté,OK,KO,Bloqué"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2026-09-30T15:46:25Z</dcterms:created>
  <dcterms:modified xmlns:dcterms="http://purl.org/dc/terms/" xmlns:xsi="http://www.w3.org/2001/XMLSchema-instance" xsi:type="dcterms:W3CDTF">2026-10-19T07:37:21Z</dcterms:modified>
</cp:coreProperties>
</file>